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Pareto" sheetId="2" state="visible" r:id="rId2"/>
    <sheet xmlns:r="http://schemas.openxmlformats.org/officeDocument/2006/relationships" name="Top Drivers" sheetId="3" state="visible" r:id="rId3"/>
    <sheet xmlns:r="http://schemas.openxmlformats.org/officeDocument/2006/relationships" name="Five Whys" sheetId="4" state="visible" r:id="rId4"/>
    <sheet xmlns:r="http://schemas.openxmlformats.org/officeDocument/2006/relationships" name="Impact Model" sheetId="5" state="visible" r:id="rId5"/>
    <sheet xmlns:r="http://schemas.openxmlformats.org/officeDocument/2006/relationships" name="Fixes" sheetId="6" state="visible" r:id="rId6"/>
    <sheet xmlns:r="http://schemas.openxmlformats.org/officeDocument/2006/relationships" name="Readout" sheetId="7" state="visible" r:id="rId7"/>
    <sheet xmlns:r="http://schemas.openxmlformats.org/officeDocument/2006/relationships" name="Benchmark" sheetId="8" state="visible" r:id="rId8"/>
    <sheet xmlns:r="http://schemas.openxmlformats.org/officeDocument/2006/relationships" name="Trends" sheetId="9" state="visible" r:id="rId9"/>
    <sheet xmlns:r="http://schemas.openxmlformats.org/officeDocument/2006/relationships" name="Reliability" sheetId="10" state="visible" r:id="rId10"/>
    <sheet xmlns:r="http://schemas.openxmlformats.org/officeDocument/2006/relationships" name="Codebook" sheetId="11" state="visible" r:id="rId11"/>
    <sheet xmlns:r="http://schemas.openxmlformats.org/officeDocument/2006/relationships" name="JD Map" sheetId="12" state="visible" r:id="rId12"/>
    <sheet xmlns:r="http://schemas.openxmlformats.org/officeDocument/2006/relationships" name="Reviews" sheetId="13" state="visible" r:id="rId13"/>
    <sheet xmlns:r="http://schemas.openxmlformats.org/officeDocument/2006/relationships" name="UC Reviews" sheetId="14" state="visible" r:id="rId14"/>
    <sheet xmlns:r="http://schemas.openxmlformats.org/officeDocument/2006/relationships" name="Lists" sheetId="15" state="hidden" r:id="rId15"/>
  </sheets>
  <definedNames>
    <definedName name="r_n">Reviews!$A$2:$A$501</definedName>
    <definedName name="r_date">Reviews!$B$2:$B$501</definedName>
    <definedName name="r_month">Reviews!$C$2:$C$501</definedName>
    <definedName name="r_star">Reviews!$D$2:$D$501</definedName>
    <definedName name="r_ver">Reviews!$E$2:$E$501</definedName>
    <definedName name="r_primary">Reviews!$H$2:$H$501</definedName>
    <definedName name="r_sub">Reviews!$I$2:$I$501</definedName>
    <definedName name="r_sec">Reviews!$J$2:$J$501</definedName>
    <definedName name="r_contact">Reviews!$K$2:$K$501</definedName>
    <definedName name="r_failed">Reviews!$L$2:$L$501</definedName>
    <definedName name="r_sev">Reviews!$M$2:$M$501</definedName>
    <definedName name="r_churn">Reviews!$N$2:$N$501</definedName>
    <definedName name="r_service">Reviews!$O$2:$O$501</definedName>
    <definedName name="r_tagA">Reviews!$S$2:$S$501</definedName>
    <definedName name="r_tagB">Reviews!$T$2:$T$501</definedName>
    <definedName name="u_primary">'UC Reviews'!$D$2:$D$501</definedName>
    <definedName name="u_contact">'UC Reviews'!$F$2:$F$501</definedName>
    <definedName name="u_sev">'UC Reviews'!$G$2:$G$501</definedName>
    <definedName name="u_churn">'UC Reviews'!$H$2:$H$501</definedName>
    <definedName name="u_star">'UC Reviews'!$C$2:$C$501</definedName>
    <definedName name="n_reviews">Pareto!$D$4</definedName>
    <definedName name="n_comp">Pareto!$D$5</definedName>
    <definedName name="top3_share">Pareto!$E$20</definedName>
    <definedName name="inp_bookings">'Impact Model'!$C$5</definedName>
    <definedName name="inp_rate">'Impact Model'!$C$6</definedName>
    <definedName name="inp_cost">'Impact Model'!$C$7</definedName>
    <definedName name="inp_cut">'Impact Model'!$C$8</definedName>
    <definedName name="inp_lost">'Impact Model'!$C$9</definedName>
    <definedName name="inp_value">'Impact Model'!$C$10</definedName>
    <definedName name="u_comp">Benchmark!$D$4</definedName>
    <definedName name="_xlnm._FilterDatabase" localSheetId="12" hidden="1">'Reviews'!$A$1:$U$501</definedName>
  </definedNames>
  <calcPr calcId="124519" fullCalcOnLoad="1"/>
</workbook>
</file>

<file path=xl/styles.xml><?xml version="1.0" encoding="utf-8"?>
<styleSheet xmlns="http://schemas.openxmlformats.org/spreadsheetml/2006/main">
  <numFmts count="7">
    <numFmt numFmtId="164" formatCode="yyyy-mm-dd h:mm:ss"/>
    <numFmt numFmtId="165" formatCode="d mmm yyyy"/>
    <numFmt numFmtId="166" formatCode="0.0%"/>
    <numFmt numFmtId="167" formatCode="&quot;₹&quot;#,##0"/>
    <numFmt numFmtId="168" formatCode="+0.0;-0.0;0.0"/>
    <numFmt numFmtId="169" formatCode="0.0000"/>
    <numFmt numFmtId="170" formatCode="0.000"/>
  </numFmts>
  <fonts count="21">
    <font>
      <name val="Calibri"/>
      <family val="2"/>
      <color theme="1"/>
      <sz val="11"/>
      <scheme val="minor"/>
    </font>
    <font>
      <name val="Arial"/>
      <b val="1"/>
      <color rgb="00FFFFFF"/>
      <sz val="10"/>
    </font>
    <font>
      <name val="Arial"/>
      <sz val="10"/>
    </font>
    <font>
      <name val="Arial"/>
      <i val="1"/>
      <color rgb="006B7280"/>
      <sz val="10"/>
    </font>
    <font>
      <name val="Arial"/>
      <b val="1"/>
      <color rgb="001F2937"/>
      <sz val="16"/>
    </font>
    <font>
      <name val="Arial"/>
      <b val="1"/>
      <sz val="10"/>
    </font>
    <font>
      <name val="Arial"/>
      <color rgb="006B7280"/>
      <sz val="10"/>
    </font>
    <font>
      <name val="Arial"/>
      <b val="1"/>
      <color rgb="002A78D6"/>
      <sz val="10"/>
    </font>
    <font>
      <name val="Arial"/>
      <b val="1"/>
      <color rgb="002A78D6"/>
      <sz val="12"/>
    </font>
    <font>
      <name val="Arial"/>
      <i val="1"/>
      <sz val="10"/>
    </font>
    <font>
      <name val="Arial"/>
      <b val="1"/>
      <color rgb="00006100"/>
      <sz val="10"/>
    </font>
    <font>
      <name val="Arial"/>
      <b val="1"/>
      <color rgb="007A5000"/>
      <sz val="10"/>
    </font>
    <font>
      <name val="Arial"/>
      <b val="1"/>
      <color rgb="006B7280"/>
      <sz val="10"/>
    </font>
    <font>
      <name val="Arial"/>
      <b val="1"/>
      <color rgb="000000FF"/>
      <sz val="10"/>
    </font>
    <font>
      <name val="Arial"/>
      <b val="1"/>
      <sz val="12"/>
    </font>
    <font>
      <name val="Arial"/>
      <color rgb="00008000"/>
      <sz val="10"/>
    </font>
    <font>
      <name val="Arial"/>
      <b val="1"/>
      <color rgb="001F2937"/>
      <sz val="22"/>
    </font>
    <font>
      <name val="Arial"/>
      <color rgb="006B7280"/>
      <sz val="12"/>
    </font>
    <font>
      <name val="Arial"/>
      <b val="1"/>
      <color rgb="002A78D6"/>
      <sz val="26"/>
    </font>
    <font>
      <name val="Arial"/>
      <sz val="11"/>
    </font>
    <font>
      <name val="Arial"/>
      <color rgb="002A78D6"/>
      <sz val="10"/>
      <u val="single"/>
    </font>
  </fonts>
  <fills count="5">
    <fill>
      <patternFill/>
    </fill>
    <fill>
      <patternFill patternType="gray125"/>
    </fill>
    <fill>
      <patternFill patternType="solid">
        <fgColor rgb="001F2937"/>
      </patternFill>
    </fill>
    <fill>
      <patternFill patternType="solid">
        <fgColor rgb="00FFF2CC"/>
      </patternFill>
    </fill>
    <fill>
      <patternFill patternType="solid">
        <fgColor rgb="00D9F2DC"/>
      </patternFill>
    </fill>
  </fills>
  <borders count="3">
    <border>
      <left/>
      <right/>
      <top/>
      <bottom/>
      <diagonal/>
    </border>
    <border>
      <bottom style="thin">
        <color rgb="00D9D9D6"/>
      </bottom>
    </border>
    <border>
      <left/>
      <right/>
      <top/>
      <bottom style="thin">
        <color rgb="00D9D9D6"/>
      </bottom>
      <diagonal/>
    </border>
  </borders>
  <cellStyleXfs count="1">
    <xf numFmtId="0" fontId="0" fillId="0" borderId="0"/>
  </cellStyleXfs>
  <cellXfs count="60">
    <xf numFmtId="0" fontId="0" fillId="0" borderId="0" pivotButton="0" quotePrefix="0" xfId="0"/>
    <xf numFmtId="0" fontId="16" fillId="0" borderId="0" pivotButton="0" quotePrefix="0" xfId="0"/>
    <xf numFmtId="0" fontId="17" fillId="0" borderId="0" pivotButton="0" quotePrefix="0" xfId="0"/>
    <xf numFmtId="0" fontId="10" fillId="4" borderId="0" pivotButton="0" quotePrefix="0" xfId="0"/>
    <xf numFmtId="0" fontId="0" fillId="4" borderId="0" pivotButton="0" quotePrefix="0" xfId="0"/>
    <xf numFmtId="0" fontId="12" fillId="0" borderId="0" pivotButton="0" quotePrefix="0" xfId="0"/>
    <xf numFmtId="9" fontId="18" fillId="0" borderId="0" pivotButton="0" quotePrefix="0" xfId="0"/>
    <xf numFmtId="0" fontId="19" fillId="0" borderId="0" pivotButton="0" quotePrefix="0" xfId="0"/>
    <xf numFmtId="0" fontId="14" fillId="0" borderId="0" pivotButton="0" quotePrefix="0" xfId="0"/>
    <xf numFmtId="0" fontId="2" fillId="0" borderId="0" pivotButton="0" quotePrefix="0" xfId="0"/>
    <xf numFmtId="0" fontId="20" fillId="0" borderId="0" pivotButton="0" quotePrefix="0" xfId="0"/>
    <xf numFmtId="0" fontId="6" fillId="0" borderId="0" pivotButton="0" quotePrefix="0" xfId="0"/>
    <xf numFmtId="0" fontId="3" fillId="0" borderId="0" pivotButton="0" quotePrefix="0" xfId="0"/>
    <xf numFmtId="0" fontId="4" fillId="0" borderId="0" pivotButton="0" quotePrefix="0" xfId="0"/>
    <xf numFmtId="0" fontId="5" fillId="0" borderId="0" pivotButton="0" quotePrefix="0" xfId="0"/>
    <xf numFmtId="3" fontId="5" fillId="0" borderId="0" pivotButton="0" quotePrefix="0" xfId="0"/>
    <xf numFmtId="9" fontId="2" fillId="0" borderId="0" pivotButton="0" quotePrefix="0" xfId="0"/>
    <xf numFmtId="0" fontId="1" fillId="2" borderId="0" applyAlignment="1" pivotButton="0" quotePrefix="0" xfId="0">
      <alignment horizontal="left" vertical="center" wrapText="1"/>
    </xf>
    <xf numFmtId="0" fontId="1" fillId="2" borderId="0" applyAlignment="1" pivotButton="0" quotePrefix="0" xfId="0">
      <alignment horizontal="center" vertical="center" wrapText="1"/>
    </xf>
    <xf numFmtId="0" fontId="6" fillId="0" borderId="1" pivotButton="0" quotePrefix="0" xfId="0"/>
    <xf numFmtId="0" fontId="5" fillId="0" borderId="1" pivotButton="0" quotePrefix="0" xfId="0"/>
    <xf numFmtId="3" fontId="5" fillId="0" borderId="1" pivotButton="0" quotePrefix="0" xfId="0"/>
    <xf numFmtId="166" fontId="2" fillId="0" borderId="1" pivotButton="0" quotePrefix="0" xfId="0"/>
    <xf numFmtId="9" fontId="6" fillId="0" borderId="1" pivotButton="0" quotePrefix="0" xfId="0"/>
    <xf numFmtId="3" fontId="2" fillId="0" borderId="1" pivotButton="0" quotePrefix="0" xfId="0"/>
    <xf numFmtId="9" fontId="2" fillId="0" borderId="1" pivotButton="0" quotePrefix="0" xfId="0"/>
    <xf numFmtId="0" fontId="7" fillId="0" borderId="1" applyAlignment="1" pivotButton="0" quotePrefix="0" xfId="0">
      <alignment horizontal="center" vertical="center"/>
    </xf>
    <xf numFmtId="0" fontId="2" fillId="0" borderId="1" pivotButton="0" quotePrefix="0" xfId="0"/>
    <xf numFmtId="9" fontId="5" fillId="0" borderId="0" pivotButton="0" quotePrefix="0" xfId="0"/>
    <xf numFmtId="9" fontId="7" fillId="0" borderId="0" pivotButton="0" quotePrefix="0" xfId="0"/>
    <xf numFmtId="0" fontId="8" fillId="0" borderId="0" pivotButton="0" quotePrefix="0" xfId="0"/>
    <xf numFmtId="0" fontId="9" fillId="0" borderId="0" applyAlignment="1" pivotButton="0" quotePrefix="0" xfId="0">
      <alignment vertical="top" wrapText="1"/>
    </xf>
    <xf numFmtId="0" fontId="2" fillId="0" borderId="0" applyAlignment="1" pivotButton="0" quotePrefix="0" xfId="0">
      <alignment vertical="top" wrapText="1"/>
    </xf>
    <xf numFmtId="0" fontId="2" fillId="0" borderId="1" applyAlignment="1" pivotButton="0" quotePrefix="0" xfId="0">
      <alignment vertical="top" wrapText="1"/>
    </xf>
    <xf numFmtId="0" fontId="0" fillId="0" borderId="2" pivotButton="0" quotePrefix="0" xfId="0"/>
    <xf numFmtId="0" fontId="10" fillId="0" borderId="1" pivotButton="0" quotePrefix="0" xfId="0"/>
    <xf numFmtId="0" fontId="11" fillId="0" borderId="1"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3" fontId="13" fillId="3" borderId="1" pivotButton="0" quotePrefix="0" xfId="0"/>
    <xf numFmtId="1" fontId="13" fillId="3" borderId="1" pivotButton="0" quotePrefix="0" xfId="0"/>
    <xf numFmtId="167" fontId="13" fillId="3" borderId="1" pivotButton="0" quotePrefix="0" xfId="0"/>
    <xf numFmtId="9" fontId="13" fillId="3" borderId="1" pivotButton="0" quotePrefix="0" xfId="0"/>
    <xf numFmtId="3" fontId="7" fillId="0" borderId="1" pivotButton="0" quotePrefix="0" xfId="0"/>
    <xf numFmtId="167" fontId="7" fillId="0" borderId="1" pivotButton="0" quotePrefix="0" xfId="0"/>
    <xf numFmtId="166" fontId="15" fillId="0" borderId="1" pivotButton="0" quotePrefix="0" xfId="0"/>
    <xf numFmtId="167" fontId="2" fillId="0" borderId="1" pivotButton="0" quotePrefix="0" xfId="0"/>
    <xf numFmtId="167" fontId="5" fillId="0" borderId="0" pivotButton="0" quotePrefix="0" xfId="0"/>
    <xf numFmtId="0" fontId="5" fillId="0" borderId="1" applyAlignment="1" pivotButton="0" quotePrefix="0" xfId="0">
      <alignment vertical="top" wrapText="1"/>
    </xf>
    <xf numFmtId="0" fontId="3" fillId="0" borderId="0" applyAlignment="1" pivotButton="0" quotePrefix="0" xfId="0">
      <alignment vertical="top" wrapText="1"/>
    </xf>
    <xf numFmtId="168" fontId="5" fillId="0" borderId="1" pivotButton="0" quotePrefix="0" xfId="0"/>
    <xf numFmtId="0" fontId="2" fillId="0" borderId="1" applyAlignment="1" pivotButton="0" quotePrefix="0" xfId="0">
      <alignment horizontal="center" vertical="center"/>
    </xf>
    <xf numFmtId="0" fontId="5" fillId="0" borderId="0" applyAlignment="1" pivotButton="0" quotePrefix="0" xfId="0">
      <alignment horizontal="center" vertical="center"/>
    </xf>
    <xf numFmtId="0" fontId="6" fillId="0" borderId="0" applyAlignment="1" pivotButton="0" quotePrefix="0" xfId="0">
      <alignment horizontal="center" vertical="center"/>
    </xf>
    <xf numFmtId="166" fontId="7" fillId="0" borderId="0" pivotButton="0" quotePrefix="0" xfId="0"/>
    <xf numFmtId="169" fontId="2" fillId="0" borderId="1" pivotButton="0" quotePrefix="0" xfId="0"/>
    <xf numFmtId="170" fontId="5" fillId="0" borderId="0" pivotButton="0" quotePrefix="0" xfId="0"/>
    <xf numFmtId="2" fontId="7" fillId="0" borderId="0" pivotButton="0" quotePrefix="0" xfId="0"/>
    <xf numFmtId="165" fontId="2" fillId="0" borderId="0" pivotButton="0" quotePrefix="0" xfId="0"/>
    <xf numFmtId="0" fontId="2" fillId="0" borderId="0" applyAlignment="1" pivotButton="0" quotePrefix="0" xfId="0">
      <alignment vertical="top"/>
    </xf>
  </cellXfs>
  <cellStyles count="1">
    <cellStyle name="Normal" xfId="0" builtinId="0" hidden="0"/>
  </cellStyles>
  <dxfs count="1">
    <dxf>
      <fill>
        <patternFill patternType="solid">
          <fgColor rgb="00E8F1F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Complaints by primary driver</a:t>
            </a:r>
          </a:p>
        </rich>
      </tx>
    </title>
    <plotArea>
      <barChart>
        <barDir val="bar"/>
        <grouping val="clustered"/>
        <ser>
          <idx val="0"/>
          <order val="0"/>
          <tx>
            <strRef>
              <f>'Pareto'!D8</f>
            </strRef>
          </tx>
          <spPr>
            <a:solidFill xmlns:a="http://schemas.openxmlformats.org/drawingml/2006/main">
              <a:srgbClr val="2A78D6"/>
            </a:solidFill>
            <a:ln xmlns:a="http://schemas.openxmlformats.org/drawingml/2006/main">
              <a:prstDash val="solid"/>
            </a:ln>
          </spPr>
          <cat>
            <numRef>
              <f>'Pareto'!$C$9:$C$17</f>
            </numRef>
          </cat>
          <val>
            <numRef>
              <f>'Pareto'!$D$9:$D$17</f>
            </numRef>
          </val>
        </ser>
        <gapWidth val="150"/>
        <axId val="10"/>
        <axId val="100"/>
      </barChart>
      <catAx>
        <axId val="10"/>
        <scaling>
          <orientation val="maxMin"/>
        </scaling>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Share of complaints by driver</a:t>
            </a:r>
          </a:p>
        </rich>
      </tx>
    </title>
    <plotArea>
      <barChart>
        <barDir val="bar"/>
        <grouping val="clustered"/>
        <ser>
          <idx val="0"/>
          <order val="0"/>
          <tx>
            <strRef>
              <f>'Benchmark'!D6</f>
            </strRef>
          </tx>
          <spPr>
            <a:solidFill xmlns:a="http://schemas.openxmlformats.org/drawingml/2006/main">
              <a:srgbClr val="2A78D6"/>
            </a:solidFill>
            <a:ln xmlns:a="http://schemas.openxmlformats.org/drawingml/2006/main">
              <a:prstDash val="solid"/>
            </a:ln>
          </spPr>
          <cat>
            <numRef>
              <f>'Benchmark'!$C$7:$C$15</f>
            </numRef>
          </cat>
          <val>
            <numRef>
              <f>'Benchmark'!$D$7:$D$15</f>
            </numRef>
          </val>
        </ser>
        <ser>
          <idx val="1"/>
          <order val="1"/>
          <tx>
            <strRef>
              <f>'Benchmark'!E6</f>
            </strRef>
          </tx>
          <spPr>
            <a:solidFill xmlns:a="http://schemas.openxmlformats.org/drawingml/2006/main">
              <a:srgbClr val="EB6834"/>
            </a:solidFill>
            <a:ln xmlns:a="http://schemas.openxmlformats.org/drawingml/2006/main">
              <a:prstDash val="solid"/>
            </a:ln>
          </spPr>
          <cat>
            <numRef>
              <f>'Benchmark'!$C$7:$C$15</f>
            </numRef>
          </cat>
          <val>
            <numRef>
              <f>'Benchmark'!$E$7:$E$15</f>
            </numRef>
          </val>
        </ser>
        <gapWidth val="150"/>
        <axId val="10"/>
        <axId val="100"/>
      </barChart>
      <catAx>
        <axId val="10"/>
        <scaling>
          <orientation val="maxMin"/>
        </scaling>
        <axPos val="l"/>
        <majorTickMark val="none"/>
        <minorTickMark val="none"/>
        <crossAx val="100"/>
        <lblOffset val="100"/>
      </catAx>
      <valAx>
        <axId val="100"/>
        <scaling>
          <orientation val="minMax"/>
        </scaling>
        <axPos val="l"/>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13</col>
      <colOff>0</colOff>
      <row>7</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7</col>
      <colOff>0</colOff>
      <row>5</row>
      <rowOff>0</rowOff>
    </from>
    <ext cx="54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areto'!A1" TargetMode="External" Id="rId1"/><Relationship Type="http://schemas.openxmlformats.org/officeDocument/2006/relationships/hyperlink" Target="#'Top Drivers'!A1" TargetMode="External" Id="rId2"/><Relationship Type="http://schemas.openxmlformats.org/officeDocument/2006/relationships/hyperlink" Target="#'Five Whys'!A1" TargetMode="External" Id="rId3"/><Relationship Type="http://schemas.openxmlformats.org/officeDocument/2006/relationships/hyperlink" Target="#'Impact Model'!A1" TargetMode="External" Id="rId4"/><Relationship Type="http://schemas.openxmlformats.org/officeDocument/2006/relationships/hyperlink" Target="#'Fixes'!A1" TargetMode="External" Id="rId5"/><Relationship Type="http://schemas.openxmlformats.org/officeDocument/2006/relationships/hyperlink" Target="#'Readout'!A1" TargetMode="External" Id="rId6"/><Relationship Type="http://schemas.openxmlformats.org/officeDocument/2006/relationships/hyperlink" Target="#'Benchmark'!A1" TargetMode="External" Id="rId7"/><Relationship Type="http://schemas.openxmlformats.org/officeDocument/2006/relationships/hyperlink" Target="#'Trends'!A1" TargetMode="External" Id="rId8"/><Relationship Type="http://schemas.openxmlformats.org/officeDocument/2006/relationships/hyperlink" Target="#'Reliability'!A1" TargetMode="External" Id="rId9"/><Relationship Type="http://schemas.openxmlformats.org/officeDocument/2006/relationships/hyperlink" Target="#'Codebook'!A1" TargetMode="External" Id="rId10"/><Relationship Type="http://schemas.openxmlformats.org/officeDocument/2006/relationships/hyperlink" Target="#'JD Map'!A1" TargetMode="External" Id="rId11"/><Relationship Type="http://schemas.openxmlformats.org/officeDocument/2006/relationships/hyperlink" Target="#'Reviews'!A1" TargetMode="External" Id="rId12"/><Relationship Type="http://schemas.openxmlformats.org/officeDocument/2006/relationships/hyperlink" Target="#'UC Reviews'!A1" TargetMode="External" Id="rId13"/></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001F2937"/>
    <outlinePr summaryBelow="1" summaryRight="1"/>
    <pageSetUpPr fitToPage="1"/>
  </sheetPr>
  <dimension ref="B2:E29"/>
  <sheetViews>
    <sheetView showGridLines="0" workbookViewId="0">
      <selection activeCell="A1" sqref="A1"/>
    </sheetView>
  </sheetViews>
  <sheetFormatPr baseColWidth="8" defaultRowHeight="15"/>
  <cols>
    <col width="3" customWidth="1" min="1" max="1"/>
    <col width="30" customWidth="1" min="2" max="2"/>
    <col width="90" customWidth="1" min="3" max="3"/>
  </cols>
  <sheetData>
    <row r="2">
      <c r="B2" s="1" t="inlineStr">
        <is>
          <t>Contact-driver teardown · Yes Madam</t>
        </is>
      </c>
    </row>
    <row r="3">
      <c r="B3" s="2" t="inlineStr">
        <is>
          <t>500 real App Store reviews (2026-06-18 to 2026-10-21), tagged into contact drivers</t>
        </is>
      </c>
    </row>
    <row r="4">
      <c r="B4" s="3" t="inlineStr">
        <is>
          <t>Real public App Store reviews (India), tagged twice with one codebook (AI-assisted), disagreements settled. Names and order IDs removed. Prepared by Chethan.</t>
        </is>
      </c>
      <c r="C4" s="4" t="n"/>
      <c r="D4" s="4" t="n"/>
      <c r="E4" s="4" t="n"/>
    </row>
    <row r="6">
      <c r="B6" s="5" t="inlineStr">
        <is>
          <t>Top 3 drivers' share of complaints</t>
        </is>
      </c>
    </row>
    <row r="7">
      <c r="B7" s="6">
        <f>top3_share</f>
        <v>0.590277777777778</v>
      </c>
      <c r="C7" s="7" t="inlineStr">
        <is>
          <t>No-shows &amp; cancellations / Price &amp; offer clarity / Service quality &amp; conduct</t>
        </is>
      </c>
    </row>
    <row r="9">
      <c r="B9" s="8" t="inlineStr">
        <is>
          <t>How to use</t>
        </is>
      </c>
    </row>
    <row r="10">
      <c r="B10" s="9" t="inlineStr">
        <is>
          <t>1. Reviews is the source: every row is one real review with its tags. Change a tag and every tab recalculates.</t>
        </is>
      </c>
    </row>
    <row r="11">
      <c r="B11" s="9" t="inlineStr">
        <is>
          <t>2. Pareto and Top Drivers count the tags with COUNTIFS. Impact Model turns them into contacts and rupees: change the yellow assumptions.</t>
        </is>
      </c>
    </row>
    <row r="12">
      <c r="B12" s="9" t="inlineStr">
        <is>
          <t>3. Reliability shows two independent taggers' agreement and Cohen's kappa, computed live.</t>
        </is>
      </c>
    </row>
    <row r="14">
      <c r="B14" s="8" t="inlineStr">
        <is>
          <t>Tabs</t>
        </is>
      </c>
    </row>
    <row r="15">
      <c r="B15" s="10" t="inlineStr">
        <is>
          <t>Pareto</t>
        </is>
      </c>
      <c r="C15" s="11" t="inlineStr">
        <is>
          <t>Complaint drivers, share and running share</t>
        </is>
      </c>
    </row>
    <row r="16">
      <c r="B16" s="10" t="inlineStr">
        <is>
          <t>Top Drivers</t>
        </is>
      </c>
      <c r="C16" s="11" t="inlineStr">
        <is>
          <t>Subtags, severity and quotes for the top 3</t>
        </is>
      </c>
    </row>
    <row r="17">
      <c r="B17" s="10" t="inlineStr">
        <is>
          <t>Five Whys</t>
        </is>
      </c>
      <c r="C17" s="11" t="inlineStr">
        <is>
          <t>Root-cause chains, evidence vs hypothesis</t>
        </is>
      </c>
    </row>
    <row r="18">
      <c r="B18" s="10" t="inlineStr">
        <is>
          <t>Impact Model</t>
        </is>
      </c>
      <c r="C18" s="11" t="inlineStr">
        <is>
          <t>Contacts and rupees, with editable assumptions</t>
        </is>
      </c>
    </row>
    <row r="19">
      <c r="B19" s="10" t="inlineStr">
        <is>
          <t>Fixes</t>
        </is>
      </c>
      <c r="C19" s="11" t="inlineStr">
        <is>
          <t>First three fixes, owner, metric, target, test</t>
        </is>
      </c>
    </row>
    <row r="20">
      <c r="B20" s="10" t="inlineStr">
        <is>
          <t>Readout</t>
        </is>
      </c>
      <c r="C20" s="11" t="inlineStr">
        <is>
          <t>One page: problem, root cause, impact, action</t>
        </is>
      </c>
    </row>
    <row r="21">
      <c r="B21" s="10" t="inlineStr">
        <is>
          <t>Benchmark</t>
        </is>
      </c>
      <c r="C21" s="11" t="inlineStr">
        <is>
          <t>Same method on Urban Company</t>
        </is>
      </c>
    </row>
    <row r="22">
      <c r="B22" s="10" t="inlineStr">
        <is>
          <t>Trends</t>
        </is>
      </c>
      <c r="C22" s="11" t="inlineStr">
        <is>
          <t>By month and by app version</t>
        </is>
      </c>
    </row>
    <row r="23">
      <c r="B23" s="10" t="inlineStr">
        <is>
          <t>Reliability</t>
        </is>
      </c>
      <c r="C23" s="11" t="inlineStr">
        <is>
          <t>Agreement and kappa</t>
        </is>
      </c>
    </row>
    <row r="24">
      <c r="B24" s="10" t="inlineStr">
        <is>
          <t>Codebook</t>
        </is>
      </c>
      <c r="C24" s="11" t="inlineStr">
        <is>
          <t>Driver definitions and rules</t>
        </is>
      </c>
    </row>
    <row r="25">
      <c r="B25" s="10" t="inlineStr">
        <is>
          <t>JD Map</t>
        </is>
      </c>
      <c r="C25" s="11" t="inlineStr">
        <is>
          <t>JD × this teardown × my track record</t>
        </is>
      </c>
    </row>
    <row r="26">
      <c r="B26" s="10" t="inlineStr">
        <is>
          <t>Reviews</t>
        </is>
      </c>
      <c r="C26" s="11" t="inlineStr">
        <is>
          <t>All 500 reviews with tags (names and IDs removed)</t>
        </is>
      </c>
    </row>
    <row r="27">
      <c r="B27" s="10" t="inlineStr">
        <is>
          <t>UC Reviews</t>
        </is>
      </c>
      <c r="C27" s="11" t="inlineStr">
        <is>
          <t>Urban Company tags for the benchmark</t>
        </is>
      </c>
    </row>
    <row r="29">
      <c r="B29" s="12" t="inlineStr">
        <is>
          <t>Bias: reviews skew negative, iOS-only, and are not ticket data. Use them for the mix of problems, not their rate.</t>
        </is>
      </c>
    </row>
  </sheetData>
  <hyperlinks>
    <hyperlink xmlns:r="http://schemas.openxmlformats.org/officeDocument/2006/relationships" ref="B15" r:id="rId1"/>
    <hyperlink xmlns:r="http://schemas.openxmlformats.org/officeDocument/2006/relationships" ref="B16" r:id="rId2"/>
    <hyperlink xmlns:r="http://schemas.openxmlformats.org/officeDocument/2006/relationships" ref="B17" r:id="rId3"/>
    <hyperlink xmlns:r="http://schemas.openxmlformats.org/officeDocument/2006/relationships" ref="B18" r:id="rId4"/>
    <hyperlink xmlns:r="http://schemas.openxmlformats.org/officeDocument/2006/relationships" ref="B19" r:id="rId5"/>
    <hyperlink xmlns:r="http://schemas.openxmlformats.org/officeDocument/2006/relationships" ref="B20" r:id="rId6"/>
    <hyperlink xmlns:r="http://schemas.openxmlformats.org/officeDocument/2006/relationships" ref="B21" r:id="rId7"/>
    <hyperlink xmlns:r="http://schemas.openxmlformats.org/officeDocument/2006/relationships" ref="B22" r:id="rId8"/>
    <hyperlink xmlns:r="http://schemas.openxmlformats.org/officeDocument/2006/relationships" ref="B23" r:id="rId9"/>
    <hyperlink xmlns:r="http://schemas.openxmlformats.org/officeDocument/2006/relationships" ref="B24" r:id="rId10"/>
    <hyperlink xmlns:r="http://schemas.openxmlformats.org/officeDocument/2006/relationships" ref="B25" r:id="rId11"/>
    <hyperlink xmlns:r="http://schemas.openxmlformats.org/officeDocument/2006/relationships" ref="B26" r:id="rId12"/>
    <hyperlink xmlns:r="http://schemas.openxmlformats.org/officeDocument/2006/relationships" ref="B27" r:id="rId13"/>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2A78D6"/>
    <outlinePr summaryBelow="1" summaryRight="1"/>
    <pageSetUpPr fitToPage="1"/>
  </sheetPr>
  <dimension ref="B1:L21"/>
  <sheetViews>
    <sheetView showGridLines="0" workbookViewId="0">
      <pane xSplit="1" ySplit="8" topLeftCell="B9" activePane="bottomRight" state="frozen"/>
      <selection pane="topRight"/>
      <selection pane="bottomLeft"/>
      <selection pane="bottomRight" activeCell="A1" sqref="A1"/>
    </sheetView>
  </sheetViews>
  <sheetFormatPr baseColWidth="8" defaultRowHeight="15"/>
  <cols>
    <col width="2" customWidth="1" min="1" max="1"/>
    <col width="22" customWidth="1" min="2" max="2"/>
    <col width="28" customWidth="1" min="3" max="3"/>
    <col width="10" customWidth="1" min="4" max="4"/>
    <col width="12" customWidth="1" min="5" max="5"/>
    <col width="11" customWidth="1" min="6" max="6"/>
    <col width="12" customWidth="1" min="7" max="7"/>
    <col width="14" customWidth="1" min="8" max="8"/>
    <col width="14" customWidth="1" min="9" max="9"/>
    <col width="14" customWidth="1" min="10" max="10"/>
    <col width="8" customWidth="1" min="11" max="11"/>
    <col width="14" customWidth="1" min="12" max="12"/>
  </cols>
  <sheetData>
    <row r="1" ht="26" customHeight="1">
      <c r="B1" s="13" t="inlineStr">
        <is>
          <t>Pareto of complaint drivers</t>
        </is>
      </c>
    </row>
    <row r="2">
      <c r="B2" s="12" t="inlineStr">
        <is>
          <t>One primary driver per review. Counts are COUNTIFS on the Reviews tab; change a tag there and this recalculates.</t>
        </is>
      </c>
    </row>
    <row r="4">
      <c r="B4" s="14" t="inlineStr">
        <is>
          <t>Reviews read</t>
        </is>
      </c>
      <c r="D4" s="15">
        <f>COUNTA(r_n)</f>
        <v>500</v>
      </c>
    </row>
    <row r="5">
      <c r="B5" s="14" t="inlineStr">
        <is>
          <t>Complaints (not praise)</t>
        </is>
      </c>
      <c r="D5" s="15">
        <f>COUNTA(r_n)-COUNTIF(r_primary,"praise")</f>
        <v>288</v>
      </c>
    </row>
    <row r="6">
      <c r="B6" s="14" t="inlineStr">
        <is>
          <t>1-star reviews</t>
        </is>
      </c>
      <c r="D6" s="15">
        <f>COUNTIF(r_star,1)</f>
        <v>227</v>
      </c>
      <c r="E6" s="16">
        <f>D6/D4</f>
        <v>0.454</v>
      </c>
      <c r="F6" s="11" t="inlineStr">
        <is>
          <t>of written reviews are 1★, while the store average is 4.73★ across 128,866 ratings. Reviews are a complaint channel.</t>
        </is>
      </c>
    </row>
    <row r="8" ht="46" customHeight="1">
      <c r="B8" s="17" t="inlineStr">
        <is>
          <t>Driver key</t>
        </is>
      </c>
      <c r="C8" s="18" t="inlineStr">
        <is>
          <t>Driver</t>
        </is>
      </c>
      <c r="D8" s="18" t="inlineStr">
        <is>
          <t>Reviews</t>
        </is>
      </c>
      <c r="E8" s="18" t="inlineStr">
        <is>
          <t>Share of complaints</t>
        </is>
      </c>
      <c r="F8" s="18" t="inlineStr">
        <is>
          <t>Running share</t>
        </is>
      </c>
      <c r="G8" s="18" t="inlineStr">
        <is>
          <t>Mentioned anywhere</t>
        </is>
      </c>
      <c r="H8" s="18" t="inlineStr">
        <is>
          <t>% of driver: contacted support</t>
        </is>
      </c>
      <c r="I8" s="18" t="inlineStr">
        <is>
          <t>% of driver: high severity</t>
        </is>
      </c>
      <c r="J8" s="18" t="inlineStr">
        <is>
          <t>% of driver: say they'll leave</t>
        </is>
      </c>
      <c r="K8" s="18" t="inlineStr">
        <is>
          <t>Top 3?</t>
        </is>
      </c>
      <c r="L8" s="18" t="inlineStr">
        <is>
          <t>Share of all who contacted support</t>
        </is>
      </c>
    </row>
    <row r="9">
      <c r="B9" s="19" t="inlineStr">
        <is>
          <t>partner_cancellation</t>
        </is>
      </c>
      <c r="C9" s="20" t="inlineStr">
        <is>
          <t>No-shows &amp; cancellations</t>
        </is>
      </c>
      <c r="D9" s="21">
        <f>COUNTIF(r_primary,B9)</f>
        <v>59</v>
      </c>
      <c r="E9" s="22">
        <f>D9/n_comp</f>
        <v>0.204861111111111</v>
      </c>
      <c r="F9" s="23">
        <f>SUM($D$9:D9)/n_comp</f>
        <v>0.204861111111111</v>
      </c>
      <c r="G9" s="24">
        <f>SUMPRODUCT(--(((r_primary=B9)+ISNUMBER(SEARCH(B9,r_sec)))&gt;0))</f>
        <v>68</v>
      </c>
      <c r="H9" s="25">
        <f>IFERROR(COUNTIFS(r_primary,B9,r_contact,"yes")/D9,0)</f>
        <v>0.440677966101695</v>
      </c>
      <c r="I9" s="25">
        <f>IFERROR(COUNTIFS(r_primary,B9,r_sev,"high")/D9,0)</f>
        <v>0.0169491525423729</v>
      </c>
      <c r="J9" s="25">
        <f>IFERROR(COUNTIFS(r_primary,B9,r_churn,"yes")/D9,0)</f>
        <v>0.169491525423729</v>
      </c>
      <c r="K9" s="26" t="inlineStr">
        <is>
          <t>Yes</t>
        </is>
      </c>
      <c r="L9" s="25">
        <f>IFERROR(COUNTIFS(r_primary,B9,r_contact,"yes")/COUNTIFS(r_primary,"&lt;&gt;praise",r_contact,"yes"),0)</f>
        <v>0.361111111111111</v>
      </c>
    </row>
    <row r="10">
      <c r="B10" s="19" t="inlineStr">
        <is>
          <t>price_clarity</t>
        </is>
      </c>
      <c r="C10" s="20" t="inlineStr">
        <is>
          <t>Price &amp; offer clarity</t>
        </is>
      </c>
      <c r="D10" s="21">
        <f>COUNTIF(r_primary,B10)</f>
        <v>56</v>
      </c>
      <c r="E10" s="22">
        <f>D10/n_comp</f>
        <v>0.194444444444444</v>
      </c>
      <c r="F10" s="23">
        <f>SUM($D$9:D10)/n_comp</f>
        <v>0.399305555555556</v>
      </c>
      <c r="G10" s="24">
        <f>SUMPRODUCT(--(((r_primary=B10)+ISNUMBER(SEARCH(B10,r_sec)))&gt;0))</f>
        <v>72</v>
      </c>
      <c r="H10" s="25">
        <f>IFERROR(COUNTIFS(r_primary,B10,r_contact,"yes")/D10,0)</f>
        <v>0.125</v>
      </c>
      <c r="I10" s="25">
        <f>IFERROR(COUNTIFS(r_primary,B10,r_sev,"high")/D10,0)</f>
        <v>0.0178571428571429</v>
      </c>
      <c r="J10" s="25">
        <f>IFERROR(COUNTIFS(r_primary,B10,r_churn,"yes")/D10,0)</f>
        <v>0.125</v>
      </c>
      <c r="K10" s="26" t="inlineStr">
        <is>
          <t>Yes</t>
        </is>
      </c>
      <c r="L10" s="25">
        <f>IFERROR(COUNTIFS(r_primary,B10,r_contact,"yes")/COUNTIFS(r_primary,"&lt;&gt;praise",r_contact,"yes"),0)</f>
        <v>0.0972222222222222</v>
      </c>
    </row>
    <row r="11">
      <c r="B11" s="19" t="inlineStr">
        <is>
          <t>service_quality</t>
        </is>
      </c>
      <c r="C11" s="20" t="inlineStr">
        <is>
          <t>Service quality &amp; conduct</t>
        </is>
      </c>
      <c r="D11" s="21">
        <f>COUNTIF(r_primary,B11)</f>
        <v>55</v>
      </c>
      <c r="E11" s="22">
        <f>D11/n_comp</f>
        <v>0.190972222222222</v>
      </c>
      <c r="F11" s="23">
        <f>SUM($D$9:D11)/n_comp</f>
        <v>0.590277777777778</v>
      </c>
      <c r="G11" s="24">
        <f>SUMPRODUCT(--(((r_primary=B11)+ISNUMBER(SEARCH(B11,r_sec)))&gt;0))</f>
        <v>73</v>
      </c>
      <c r="H11" s="25">
        <f>IFERROR(COUNTIFS(r_primary,B11,r_contact,"yes")/D11,0)</f>
        <v>0.327272727272727</v>
      </c>
      <c r="I11" s="25">
        <f>IFERROR(COUNTIFS(r_primary,B11,r_sev,"high")/D11,0)</f>
        <v>0.4</v>
      </c>
      <c r="J11" s="25">
        <f>IFERROR(COUNTIFS(r_primary,B11,r_churn,"yes")/D11,0)</f>
        <v>0.2</v>
      </c>
      <c r="K11" s="26" t="inlineStr">
        <is>
          <t>Yes</t>
        </is>
      </c>
      <c r="L11" s="25">
        <f>IFERROR(COUNTIFS(r_primary,B11,r_contact,"yes")/COUNTIFS(r_primary,"&lt;&gt;praise",r_contact,"yes"),0)</f>
        <v>0.25</v>
      </c>
    </row>
    <row r="12">
      <c r="B12" s="19" t="inlineStr">
        <is>
          <t>product_fit</t>
        </is>
      </c>
      <c r="C12" s="27" t="inlineStr">
        <is>
          <t>Products used</t>
        </is>
      </c>
      <c r="D12" s="21">
        <f>COUNTIF(r_primary,B12)</f>
        <v>30</v>
      </c>
      <c r="E12" s="22">
        <f>D12/n_comp</f>
        <v>0.104166666666667</v>
      </c>
      <c r="F12" s="23">
        <f>SUM($D$9:D12)/n_comp</f>
        <v>0.694444444444444</v>
      </c>
      <c r="G12" s="24">
        <f>SUMPRODUCT(--(((r_primary=B12)+ISNUMBER(SEARCH(B12,r_sec)))&gt;0))</f>
        <v>51</v>
      </c>
      <c r="H12" s="25">
        <f>IFERROR(COUNTIFS(r_primary,B12,r_contact,"yes")/D12,0)</f>
        <v>0.166666666666667</v>
      </c>
      <c r="I12" s="25">
        <f>IFERROR(COUNTIFS(r_primary,B12,r_sev,"high")/D12,0)</f>
        <v>0.3</v>
      </c>
      <c r="J12" s="25">
        <f>IFERROR(COUNTIFS(r_primary,B12,r_churn,"yes")/D12,0)</f>
        <v>0.0666666666666667</v>
      </c>
      <c r="K12" s="26" t="inlineStr"/>
      <c r="L12" s="25">
        <f>IFERROR(COUNTIFS(r_primary,B12,r_contact,"yes")/COUNTIFS(r_primary,"&lt;&gt;praise",r_contact,"yes"),0)</f>
        <v>0.0694444444444445</v>
      </c>
    </row>
    <row r="13">
      <c r="B13" s="19" t="inlineStr">
        <is>
          <t>app</t>
        </is>
      </c>
      <c r="C13" s="27" t="inlineStr">
        <is>
          <t>App &amp; booking bugs</t>
        </is>
      </c>
      <c r="D13" s="21">
        <f>COUNTIF(r_primary,B13)</f>
        <v>29</v>
      </c>
      <c r="E13" s="22">
        <f>D13/n_comp</f>
        <v>0.100694444444444</v>
      </c>
      <c r="F13" s="23">
        <f>SUM($D$9:D13)/n_comp</f>
        <v>0.795138888888889</v>
      </c>
      <c r="G13" s="24">
        <f>SUMPRODUCT(--(((r_primary=B13)+ISNUMBER(SEARCH(B13,r_sec)))&gt;0))</f>
        <v>58</v>
      </c>
      <c r="H13" s="25">
        <f>IFERROR(COUNTIFS(r_primary,B13,r_contact,"yes")/D13,0)</f>
        <v>0.172413793103448</v>
      </c>
      <c r="I13" s="25">
        <f>IFERROR(COUNTIFS(r_primary,B13,r_sev,"high")/D13,0)</f>
        <v>0.0689655172413793</v>
      </c>
      <c r="J13" s="25">
        <f>IFERROR(COUNTIFS(r_primary,B13,r_churn,"yes")/D13,0)</f>
        <v>0.0689655172413793</v>
      </c>
      <c r="K13" s="26" t="inlineStr"/>
      <c r="L13" s="25">
        <f>IFERROR(COUNTIFS(r_primary,B13,r_contact,"yes")/COUNTIFS(r_primary,"&lt;&gt;praise",r_contact,"yes"),0)</f>
        <v>0.0694444444444445</v>
      </c>
    </row>
    <row r="14">
      <c r="B14" s="19" t="inlineStr">
        <is>
          <t>payment_refund</t>
        </is>
      </c>
      <c r="C14" s="27" t="inlineStr">
        <is>
          <t>Payments &amp; refunds</t>
        </is>
      </c>
      <c r="D14" s="21">
        <f>COUNTIF(r_primary,B14)</f>
        <v>12</v>
      </c>
      <c r="E14" s="22">
        <f>D14/n_comp</f>
        <v>0.0416666666666667</v>
      </c>
      <c r="F14" s="23">
        <f>SUM($D$9:D14)/n_comp</f>
        <v>0.836805555555556</v>
      </c>
      <c r="G14" s="24">
        <f>SUMPRODUCT(--(((r_primary=B14)+ISNUMBER(SEARCH(B14,r_sec)))&gt;0))</f>
        <v>25</v>
      </c>
      <c r="H14" s="25">
        <f>IFERROR(COUNTIFS(r_primary,B14,r_contact,"yes")/D14,0)</f>
        <v>0.5</v>
      </c>
      <c r="I14" s="25">
        <f>IFERROR(COUNTIFS(r_primary,B14,r_sev,"high")/D14,0)</f>
        <v>1</v>
      </c>
      <c r="J14" s="25">
        <f>IFERROR(COUNTIFS(r_primary,B14,r_churn,"yes")/D14,0)</f>
        <v>0</v>
      </c>
      <c r="K14" s="26" t="inlineStr"/>
      <c r="L14" s="25">
        <f>IFERROR(COUNTIFS(r_primary,B14,r_contact,"yes")/COUNTIFS(r_primary,"&lt;&gt;praise",r_contact,"yes"),0)</f>
        <v>0.0833333333333333</v>
      </c>
    </row>
    <row r="15">
      <c r="B15" s="19" t="inlineStr">
        <is>
          <t>support</t>
        </is>
      </c>
      <c r="C15" s="27" t="inlineStr">
        <is>
          <t>Support itself</t>
        </is>
      </c>
      <c r="D15" s="21">
        <f>COUNTIF(r_primary,B15)</f>
        <v>5</v>
      </c>
      <c r="E15" s="22">
        <f>D15/n_comp</f>
        <v>0.0173611111111111</v>
      </c>
      <c r="F15" s="23">
        <f>SUM($D$9:D15)/n_comp</f>
        <v>0.854166666666667</v>
      </c>
      <c r="G15" s="24">
        <f>SUMPRODUCT(--(((r_primary=B15)+ISNUMBER(SEARCH(B15,r_sec)))&gt;0))</f>
        <v>71</v>
      </c>
      <c r="H15" s="25">
        <f>IFERROR(COUNTIFS(r_primary,B15,r_contact,"yes")/D15,0)</f>
        <v>0.6</v>
      </c>
      <c r="I15" s="25">
        <f>IFERROR(COUNTIFS(r_primary,B15,r_sev,"high")/D15,0)</f>
        <v>0</v>
      </c>
      <c r="J15" s="25">
        <f>IFERROR(COUNTIFS(r_primary,B15,r_churn,"yes")/D15,0)</f>
        <v>0.2</v>
      </c>
      <c r="K15" s="26" t="inlineStr"/>
      <c r="L15" s="25">
        <f>IFERROR(COUNTIFS(r_primary,B15,r_contact,"yes")/COUNTIFS(r_primary,"&lt;&gt;praise",r_contact,"yes"),0)</f>
        <v>0.0416666666666667</v>
      </c>
    </row>
    <row r="16">
      <c r="B16" s="19" t="inlineStr">
        <is>
          <t>delay</t>
        </is>
      </c>
      <c r="C16" s="27" t="inlineStr">
        <is>
          <t>Late arrivals</t>
        </is>
      </c>
      <c r="D16" s="21">
        <f>COUNTIF(r_primary,B16)</f>
        <v>4</v>
      </c>
      <c r="E16" s="22">
        <f>D16/n_comp</f>
        <v>0.0138888888888889</v>
      </c>
      <c r="F16" s="23">
        <f>SUM($D$9:D16)/n_comp</f>
        <v>0.868055555555556</v>
      </c>
      <c r="G16" s="24">
        <f>SUMPRODUCT(--(((r_primary=B16)+ISNUMBER(SEARCH(B16,r_sec)))&gt;0))</f>
        <v>21</v>
      </c>
      <c r="H16" s="25">
        <f>IFERROR(COUNTIFS(r_primary,B16,r_contact,"yes")/D16,0)</f>
        <v>0.5</v>
      </c>
      <c r="I16" s="25">
        <f>IFERROR(COUNTIFS(r_primary,B16,r_sev,"high")/D16,0)</f>
        <v>0</v>
      </c>
      <c r="J16" s="25">
        <f>IFERROR(COUNTIFS(r_primary,B16,r_churn,"yes")/D16,0)</f>
        <v>0</v>
      </c>
      <c r="K16" s="26" t="inlineStr"/>
      <c r="L16" s="25">
        <f>IFERROR(COUNTIFS(r_primary,B16,r_contact,"yes")/COUNTIFS(r_primary,"&lt;&gt;praise",r_contact,"yes"),0)</f>
        <v>0.0277777777777778</v>
      </c>
    </row>
    <row r="17">
      <c r="B17" s="19" t="inlineStr">
        <is>
          <t>other</t>
        </is>
      </c>
      <c r="C17" s="27" t="inlineStr">
        <is>
          <t>Other or vague</t>
        </is>
      </c>
      <c r="D17" s="21">
        <f>COUNTIF(r_primary,B17)</f>
        <v>38</v>
      </c>
      <c r="E17" s="22">
        <f>D17/n_comp</f>
        <v>0.131944444444444</v>
      </c>
      <c r="F17" s="23">
        <f>SUM($D$9:D17)/n_comp</f>
        <v>1</v>
      </c>
      <c r="G17" s="24">
        <f>SUMPRODUCT(--(((r_primary=B17)+ISNUMBER(SEARCH(B17,r_sec)))&gt;0))</f>
        <v>40</v>
      </c>
      <c r="H17" s="25">
        <f>IFERROR(COUNTIFS(r_primary,B17,r_contact,"yes")/D17,0)</f>
        <v>0</v>
      </c>
      <c r="I17" s="25">
        <f>IFERROR(COUNTIFS(r_primary,B17,r_sev,"high")/D17,0)</f>
        <v>0</v>
      </c>
      <c r="J17" s="25">
        <f>IFERROR(COUNTIFS(r_primary,B17,r_churn,"yes")/D17,0)</f>
        <v>0.105263157894737</v>
      </c>
      <c r="K17" s="26" t="inlineStr"/>
      <c r="L17" s="25">
        <f>IFERROR(COUNTIFS(r_primary,B17,r_contact,"yes")/COUNTIFS(r_primary,"&lt;&gt;praise",r_contact,"yes"),0)</f>
        <v>0</v>
      </c>
    </row>
    <row r="18">
      <c r="C18" s="14" t="inlineStr">
        <is>
          <t>All complaints</t>
        </is>
      </c>
      <c r="D18" s="15">
        <f>SUM(D9:D17)</f>
        <v>288</v>
      </c>
      <c r="E18" s="28">
        <f>SUM(E9:E17)</f>
        <v>1</v>
      </c>
      <c r="F18" s="11" t="str">
        <f>IF(D18=n_comp,"Ties to complaint count","Does not tie: check tags")</f>
        <v>Ties to complaint count</v>
      </c>
    </row>
    <row r="20">
      <c r="C20" s="14" t="inlineStr">
        <is>
          <t>Top 3 drivers' share of complaints</t>
        </is>
      </c>
      <c r="E20" s="29">
        <f>SUMIFS(D9:D17,K9:K17,"Yes")/n_comp</f>
        <v>0.590277777777778</v>
      </c>
    </row>
    <row r="21">
      <c r="C21" s="14" t="inlineStr">
        <is>
          <t>Top 3 drivers' share of those who contacted support</t>
        </is>
      </c>
      <c r="E21" s="29">
        <f>SUMIFS(L9:L17,K9:K17,"Yes")</f>
        <v>0.708333333333333</v>
      </c>
      <c r="F21" s="11" t="inlineStr">
        <is>
          <t>Weighted by reviews that say they already contacted support: the better proxy for contacts, on a smaller sample</t>
        </is>
      </c>
    </row>
  </sheetData>
  <conditionalFormatting sqref="B9:L17">
    <cfRule type="expression" priority="1" dxfId="0">
      <formula>$K9="Yes"</formula>
    </cfRule>
  </conditionalFormatting>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tabColor rgb="002A78D6"/>
    <outlinePr summaryBelow="1" summaryRight="1"/>
    <pageSetUpPr fitToPage="1"/>
  </sheetPr>
  <dimension ref="B1:I48"/>
  <sheetViews>
    <sheetView showGridLines="0" workbookViewId="0">
      <selection activeCell="A1" sqref="A1"/>
    </sheetView>
  </sheetViews>
  <sheetFormatPr baseColWidth="8" defaultRowHeight="15"/>
  <cols>
    <col width="2" customWidth="1" min="1" max="1"/>
    <col width="26" customWidth="1" min="2" max="2"/>
    <col width="30" customWidth="1" min="3" max="3"/>
    <col width="10" customWidth="1" min="4" max="4"/>
    <col width="12" customWidth="1" min="5" max="5"/>
    <col width="10" customWidth="1" min="6" max="6"/>
    <col width="10" customWidth="1" min="7" max="7"/>
    <col width="14" customWidth="1" min="8" max="8"/>
    <col width="16" customWidth="1" min="9" max="9"/>
  </cols>
  <sheetData>
    <row r="1" ht="26" customHeight="1">
      <c r="B1" s="13" t="inlineStr">
        <is>
          <t>The top three drivers</t>
        </is>
      </c>
    </row>
    <row r="2">
      <c r="B2" s="12" t="inlineStr">
        <is>
          <t>Subtags, contact and severity for each, plus the quotes used on slide 2.</t>
        </is>
      </c>
    </row>
    <row r="4">
      <c r="B4" s="30" t="inlineStr">
        <is>
          <t>#1 No-shows &amp; cancellations</t>
        </is>
      </c>
      <c r="F4" s="15">
        <f>COUNTIF(r_primary,"partner_cancellation")</f>
        <v>59</v>
      </c>
      <c r="G4" s="28">
        <f>F4/n_comp</f>
        <v>0.204861111111111</v>
      </c>
      <c r="H4" s="11" t="inlineStr">
        <is>
          <t>of complaints</t>
        </is>
      </c>
    </row>
    <row r="5" ht="30" customHeight="1">
      <c r="B5" s="17" t="inlineStr">
        <is>
          <t>Subtag</t>
        </is>
      </c>
      <c r="C5" s="18" t="inlineStr">
        <is>
          <t>Label</t>
        </is>
      </c>
      <c r="D5" s="18" t="inlineStr">
        <is>
          <t>Reviews</t>
        </is>
      </c>
      <c r="E5" s="18" t="inlineStr">
        <is>
          <t>Share of driver</t>
        </is>
      </c>
    </row>
    <row r="6">
      <c r="B6" s="19" t="inlineStr">
        <is>
          <t>last_minute_cancel</t>
        </is>
      </c>
      <c r="C6" s="27" t="inlineStr">
        <is>
          <t>Cancelled at the last minute</t>
        </is>
      </c>
      <c r="D6" s="21">
        <f>COUNTIFS(r_primary,"partner_cancellation",r_sub,B6)</f>
        <v>25</v>
      </c>
      <c r="E6" s="25">
        <f>D6/COUNTIF(r_primary,"partner_cancellation")</f>
        <v>0.423728813559322</v>
      </c>
    </row>
    <row r="7">
      <c r="B7" s="19" t="inlineStr">
        <is>
          <t>no_show</t>
        </is>
      </c>
      <c r="C7" s="27" t="inlineStr">
        <is>
          <t>Didn't show up</t>
        </is>
      </c>
      <c r="D7" s="21">
        <f>COUNTIFS(r_primary,"partner_cancellation",r_sub,B7)</f>
        <v>20</v>
      </c>
      <c r="E7" s="25">
        <f>D7/COUNTIF(r_primary,"partner_cancellation")</f>
        <v>0.338983050847458</v>
      </c>
    </row>
    <row r="8">
      <c r="B8" s="19" t="inlineStr">
        <is>
          <t>repeated_reschedule</t>
        </is>
      </c>
      <c r="C8" s="27" t="inlineStr">
        <is>
          <t>Rescheduled again and again</t>
        </is>
      </c>
      <c r="D8" s="21">
        <f>COUNTIFS(r_primary,"partner_cancellation",r_sub,B8)</f>
        <v>8</v>
      </c>
      <c r="E8" s="25">
        <f>D8/COUNTIF(r_primary,"partner_cancellation")</f>
        <v>0.135593220338983</v>
      </c>
    </row>
    <row r="9">
      <c r="B9" s="19" t="inlineStr">
        <is>
          <t>no_partner_available</t>
        </is>
      </c>
      <c r="C9" s="27" t="inlineStr">
        <is>
          <t>No professional available</t>
        </is>
      </c>
      <c r="D9" s="21">
        <f>COUNTIFS(r_primary,"partner_cancellation",r_sub,B9)</f>
        <v>6</v>
      </c>
      <c r="E9" s="25">
        <f>D9/COUNTIF(r_primary,"partner_cancellation")</f>
        <v>0.101694915254237</v>
      </c>
    </row>
    <row r="10">
      <c r="C10" s="9" t="inlineStr">
        <is>
          <t>Contacted support</t>
        </is>
      </c>
      <c r="E10" s="28">
        <f>COUNTIFS(r_primary,"partner_cancellation",r_contact,"yes")/COUNTIF(r_primary,"partner_cancellation")</f>
        <v>0.440677966101695</v>
      </c>
    </row>
    <row r="11">
      <c r="C11" s="9" t="inlineStr">
        <is>
          <t>High severity</t>
        </is>
      </c>
      <c r="E11" s="28">
        <f>COUNTIFS(r_primary,"partner_cancellation",r_sev,"high")/COUNTIF(r_primary,"partner_cancellation")</f>
        <v>0.0169491525423729</v>
      </c>
    </row>
    <row r="12">
      <c r="C12" s="9" t="inlineStr">
        <is>
          <t>Say they'll leave</t>
        </is>
      </c>
      <c r="E12" s="28">
        <f>COUNTIFS(r_primary,"partner_cancellation",r_churn,"yes")/COUNTIF(r_primary,"partner_cancellation")</f>
        <v>0.169491525423729</v>
      </c>
    </row>
    <row r="13">
      <c r="C13" s="14" t="inlineStr">
        <is>
          <t>Quotes</t>
        </is>
      </c>
    </row>
    <row r="14" ht="30" customHeight="1">
      <c r="C14" s="31" t="inlineStr">
        <is>
          <t>"I booked a service for 4:30 PM today, and instead of informing me beforehand, they called me at exactly 4:30 PM to say that no professional was available"</t>
        </is>
      </c>
      <c r="I14" s="11" t="inlineStr">
        <is>
          <t>1★ · 2026-08-02</t>
        </is>
      </c>
    </row>
    <row r="15" ht="30" customHeight="1">
      <c r="C15" s="31" t="inlineStr">
        <is>
          <t>"professional refused to come and asked me to cancel and when I told her u cancel she kept calling me till I cancelled it."</t>
        </is>
      </c>
      <c r="I15" s="11" t="inlineStr">
        <is>
          <t>1★ · 2026-09-05</t>
        </is>
      </c>
    </row>
    <row r="16" ht="30" customHeight="1">
      <c r="C16" s="31" t="inlineStr">
        <is>
          <t>"Twice professionals didn’t show up. No cancellations, no notice, just plain didn’t show up."</t>
        </is>
      </c>
      <c r="I16" s="11" t="inlineStr">
        <is>
          <t>1★ · 2026-10-16</t>
        </is>
      </c>
    </row>
    <row r="19">
      <c r="B19" s="30" t="inlineStr">
        <is>
          <t>#2 Price &amp; offer clarity</t>
        </is>
      </c>
      <c r="F19" s="15">
        <f>COUNTIF(r_primary,"price_clarity")</f>
        <v>56</v>
      </c>
      <c r="G19" s="28">
        <f>F19/n_comp</f>
        <v>0.194444444444444</v>
      </c>
      <c r="H19" s="11" t="inlineStr">
        <is>
          <t>of complaints</t>
        </is>
      </c>
    </row>
    <row r="20" ht="30" customHeight="1">
      <c r="B20" s="17" t="inlineStr">
        <is>
          <t>Subtag</t>
        </is>
      </c>
      <c r="C20" s="18" t="inlineStr">
        <is>
          <t>Label</t>
        </is>
      </c>
      <c r="D20" s="18" t="inlineStr">
        <is>
          <t>Reviews</t>
        </is>
      </c>
      <c r="E20" s="18" t="inlineStr">
        <is>
          <t>Share of driver</t>
        </is>
      </c>
    </row>
    <row r="21">
      <c r="B21" s="19" t="inlineStr">
        <is>
          <t>offer_not_honoured</t>
        </is>
      </c>
      <c r="C21" s="27" t="inlineStr">
        <is>
          <t>Offer or coupon not honoured</t>
        </is>
      </c>
      <c r="D21" s="21">
        <f>COUNTIFS(r_primary,"price_clarity",r_sub,B21)</f>
        <v>34</v>
      </c>
      <c r="E21" s="25">
        <f>D21/COUNTIF(r_primary,"price_clarity")</f>
        <v>0.607142857142857</v>
      </c>
    </row>
    <row r="22">
      <c r="B22" s="19" t="inlineStr">
        <is>
          <t>hidden_charges</t>
        </is>
      </c>
      <c r="C22" s="27" t="inlineStr">
        <is>
          <t>Extra charges at checkout</t>
        </is>
      </c>
      <c r="D22" s="21">
        <f>COUNTIFS(r_primary,"price_clarity",r_sub,B22)</f>
        <v>15</v>
      </c>
      <c r="E22" s="25">
        <f>D22/COUNTIF(r_primary,"price_clarity")</f>
        <v>0.267857142857143</v>
      </c>
    </row>
    <row r="23">
      <c r="B23" s="19" t="inlineStr">
        <is>
          <t>membership_or_package_confusion</t>
        </is>
      </c>
      <c r="C23" s="27" t="inlineStr">
        <is>
          <t>Membership or package confusion</t>
        </is>
      </c>
      <c r="D23" s="21">
        <f>COUNTIFS(r_primary,"price_clarity",r_sub,B23)</f>
        <v>4</v>
      </c>
      <c r="E23" s="25">
        <f>D23/COUNTIF(r_primary,"price_clarity")</f>
        <v>0.0714285714285714</v>
      </c>
    </row>
    <row r="24">
      <c r="B24" s="19" t="inlineStr">
        <is>
          <t>price_mismatch</t>
        </is>
      </c>
      <c r="C24" s="27" t="inlineStr">
        <is>
          <t>Price different from shown</t>
        </is>
      </c>
      <c r="D24" s="21">
        <f>COUNTIFS(r_primary,"price_clarity",r_sub,B24)</f>
        <v>3</v>
      </c>
      <c r="E24" s="25">
        <f>D24/COUNTIF(r_primary,"price_clarity")</f>
        <v>0.0535714285714286</v>
      </c>
    </row>
    <row r="25">
      <c r="C25" s="9" t="inlineStr">
        <is>
          <t>Contacted support</t>
        </is>
      </c>
      <c r="E25" s="28">
        <f>COUNTIFS(r_primary,"price_clarity",r_contact,"yes")/COUNTIF(r_primary,"price_clarity")</f>
        <v>0.125</v>
      </c>
    </row>
    <row r="26">
      <c r="C26" s="9" t="inlineStr">
        <is>
          <t>High severity</t>
        </is>
      </c>
      <c r="E26" s="28">
        <f>COUNTIFS(r_primary,"price_clarity",r_sev,"high")/COUNTIF(r_primary,"price_clarity")</f>
        <v>0.0178571428571429</v>
      </c>
    </row>
    <row r="27">
      <c r="C27" s="9" t="inlineStr">
        <is>
          <t>Say they'll leave</t>
        </is>
      </c>
      <c r="E27" s="28">
        <f>COUNTIFS(r_primary,"price_clarity",r_churn,"yes")/COUNTIF(r_primary,"price_clarity")</f>
        <v>0.125</v>
      </c>
    </row>
    <row r="28">
      <c r="C28" s="14" t="inlineStr">
        <is>
          <t>Quotes</t>
        </is>
      </c>
    </row>
    <row r="29" ht="30" customHeight="1">
      <c r="C29" s="31" t="inlineStr">
        <is>
          <t>"The first 2 days the slots were already over by 1:02 pm."</t>
        </is>
      </c>
      <c r="I29" s="11" t="inlineStr">
        <is>
          <t>3★ · 2026-10-09</t>
        </is>
      </c>
    </row>
    <row r="30" ht="30" customHeight="1">
      <c r="C30" s="31" t="inlineStr">
        <is>
          <t>"If I’m booking a spa for 970 it sums up to 1399 by the end of the payment"</t>
        </is>
      </c>
      <c r="I30" s="11" t="inlineStr">
        <is>
          <t>2★ · 2026-10-19</t>
        </is>
      </c>
    </row>
    <row r="31" ht="30" customHeight="1">
      <c r="C31" s="31" t="inlineStr">
        <is>
          <t>"while booking I get to know there are platform charges, mandatory disposable kit charges which resulted me to pay extra amount unnecessarily."</t>
        </is>
      </c>
      <c r="I31" s="11" t="inlineStr">
        <is>
          <t>2★ · 2026-10-11</t>
        </is>
      </c>
    </row>
    <row r="34">
      <c r="B34" s="30" t="inlineStr">
        <is>
          <t>#3 Service quality &amp; conduct</t>
        </is>
      </c>
      <c r="F34" s="15">
        <f>COUNTIF(r_primary,"service_quality")</f>
        <v>55</v>
      </c>
      <c r="G34" s="28">
        <f>F34/n_comp</f>
        <v>0.190972222222222</v>
      </c>
      <c r="H34" s="11" t="inlineStr">
        <is>
          <t>of complaints</t>
        </is>
      </c>
    </row>
    <row r="35" ht="30" customHeight="1">
      <c r="B35" s="17" t="inlineStr">
        <is>
          <t>Subtag</t>
        </is>
      </c>
      <c r="C35" s="18" t="inlineStr">
        <is>
          <t>Label</t>
        </is>
      </c>
      <c r="D35" s="18" t="inlineStr">
        <is>
          <t>Reviews</t>
        </is>
      </c>
      <c r="E35" s="18" t="inlineStr">
        <is>
          <t>Share of driver</t>
        </is>
      </c>
    </row>
    <row r="36">
      <c r="B36" s="19" t="inlineStr">
        <is>
          <t>poor_skill</t>
        </is>
      </c>
      <c r="C36" s="27" t="inlineStr">
        <is>
          <t>Poor skill</t>
        </is>
      </c>
      <c r="D36" s="21">
        <f>COUNTIFS(r_primary,"service_quality",r_sub,B36)</f>
        <v>20</v>
      </c>
      <c r="E36" s="25">
        <f>D36/COUNTIF(r_primary,"service_quality")</f>
        <v>0.363636363636364</v>
      </c>
    </row>
    <row r="37">
      <c r="B37" s="19" t="inlineStr">
        <is>
          <t>skin_injury_or_reaction</t>
        </is>
      </c>
      <c r="C37" s="27" t="inlineStr">
        <is>
          <t>Burn, cut or rash</t>
        </is>
      </c>
      <c r="D37" s="21">
        <f>COUNTIFS(r_primary,"service_quality",r_sub,B37)</f>
        <v>17</v>
      </c>
      <c r="E37" s="25">
        <f>D37/COUNTIF(r_primary,"service_quality")</f>
        <v>0.309090909090909</v>
      </c>
    </row>
    <row r="38">
      <c r="B38" s="19" t="inlineStr">
        <is>
          <t>rushed_or_incomplete</t>
        </is>
      </c>
      <c r="C38" s="27" t="inlineStr">
        <is>
          <t>Rushed or incomplete</t>
        </is>
      </c>
      <c r="D38" s="21">
        <f>COUNTIFS(r_primary,"service_quality",r_sub,B38)</f>
        <v>9</v>
      </c>
      <c r="E38" s="25">
        <f>D38/COUNTIF(r_primary,"service_quality")</f>
        <v>0.163636363636364</v>
      </c>
    </row>
    <row r="39">
      <c r="B39" s="19" t="inlineStr">
        <is>
          <t>hygiene</t>
        </is>
      </c>
      <c r="C39" s="27" t="inlineStr">
        <is>
          <t>Hygiene</t>
        </is>
      </c>
      <c r="D39" s="21">
        <f>COUNTIFS(r_primary,"service_quality",r_sub,B39)</f>
        <v>3</v>
      </c>
      <c r="E39" s="25">
        <f>D39/COUNTIF(r_primary,"service_quality")</f>
        <v>0.0545454545454545</v>
      </c>
    </row>
    <row r="40">
      <c r="B40" s="19" t="inlineStr">
        <is>
          <t>safety_or_theft</t>
        </is>
      </c>
      <c r="C40" s="27" t="inlineStr">
        <is>
          <t>Safety, privacy or theft</t>
        </is>
      </c>
      <c r="D40" s="21">
        <f>COUNTIFS(r_primary,"service_quality",r_sub,B40)</f>
        <v>3</v>
      </c>
      <c r="E40" s="25">
        <f>D40/COUNTIF(r_primary,"service_quality")</f>
        <v>0.0545454545454545</v>
      </c>
    </row>
    <row r="41">
      <c r="B41" s="19" t="inlineStr">
        <is>
          <t>rude_behaviour</t>
        </is>
      </c>
      <c r="C41" s="27" t="inlineStr">
        <is>
          <t>Rude behaviour</t>
        </is>
      </c>
      <c r="D41" s="21">
        <f>COUNTIFS(r_primary,"service_quality",r_sub,B41)</f>
        <v>3</v>
      </c>
      <c r="E41" s="25">
        <f>D41/COUNTIF(r_primary,"service_quality")</f>
        <v>0.0545454545454545</v>
      </c>
    </row>
    <row r="42">
      <c r="C42" s="9" t="inlineStr">
        <is>
          <t>Contacted support</t>
        </is>
      </c>
      <c r="E42" s="28">
        <f>COUNTIFS(r_primary,"service_quality",r_contact,"yes")/COUNTIF(r_primary,"service_quality")</f>
        <v>0.327272727272727</v>
      </c>
    </row>
    <row r="43">
      <c r="C43" s="9" t="inlineStr">
        <is>
          <t>High severity</t>
        </is>
      </c>
      <c r="E43" s="28">
        <f>COUNTIFS(r_primary,"service_quality",r_sev,"high")/COUNTIF(r_primary,"service_quality")</f>
        <v>0.4</v>
      </c>
    </row>
    <row r="44">
      <c r="C44" s="9" t="inlineStr">
        <is>
          <t>Say they'll leave</t>
        </is>
      </c>
      <c r="E44" s="28">
        <f>COUNTIFS(r_primary,"service_quality",r_churn,"yes")/COUNTIF(r_primary,"service_quality")</f>
        <v>0.2</v>
      </c>
    </row>
    <row r="45">
      <c r="C45" s="14" t="inlineStr">
        <is>
          <t>Quotes</t>
        </is>
      </c>
    </row>
    <row r="46" ht="30" customHeight="1">
      <c r="C46" s="31" t="inlineStr">
        <is>
          <t>"I got burned on my hand after my waxing, and customer support said they'd give me a 400 free coupon. What do I do with my hand now?"</t>
        </is>
      </c>
      <c r="I46" s="11" t="inlineStr">
        <is>
          <t>1★ · 2026-10-13</t>
        </is>
      </c>
    </row>
    <row r="47" ht="30" customHeight="1">
      <c r="C47" s="31" t="inlineStr">
        <is>
          <t>"One knocked off a good part of my eyebrow I was hoping that’s a basic skill but guess not."</t>
        </is>
      </c>
      <c r="I47" s="11" t="inlineStr">
        <is>
          <t>1★ · 2026-09-22</t>
        </is>
      </c>
    </row>
    <row r="48" ht="30" customHeight="1">
      <c r="C48" s="31" t="inlineStr">
        <is>
          <t>"Professional was in too much hurry, and didn’t do the work properly. I got rashes and skin irritation."</t>
        </is>
      </c>
      <c r="I48" s="11" t="inlineStr">
        <is>
          <t>1★ · 2026-08-23</t>
        </is>
      </c>
    </row>
  </sheetData>
  <mergeCells count="9">
    <mergeCell ref="C46:H46"/>
    <mergeCell ref="C47:H47"/>
    <mergeCell ref="C16:H16"/>
    <mergeCell ref="C14:H14"/>
    <mergeCell ref="C31:H31"/>
    <mergeCell ref="C48:H48"/>
    <mergeCell ref="C29:H29"/>
    <mergeCell ref="C30:H30"/>
    <mergeCell ref="C15:H15"/>
  </mergeCells>
  <pageMargins left="0.75" right="0.75" top="1" bottom="1" header="0.5" footer="0.5"/>
  <pageSetup orientation="landscape" fitToHeight="0" fitToWidth="1"/>
</worksheet>
</file>

<file path=xl/worksheets/sheet4.xml><?xml version="1.0" encoding="utf-8"?>
<worksheet xmlns="http://schemas.openxmlformats.org/spreadsheetml/2006/main">
  <sheetPr>
    <tabColor rgb="002A78D6"/>
    <outlinePr summaryBelow="1" summaryRight="1"/>
    <pageSetUpPr fitToPage="1"/>
  </sheetPr>
  <dimension ref="B1:F37"/>
  <sheetViews>
    <sheetView showGridLines="0" workbookViewId="0">
      <selection activeCell="A1" sqref="A1"/>
    </sheetView>
  </sheetViews>
  <sheetFormatPr baseColWidth="8" defaultRowHeight="15"/>
  <cols>
    <col width="2" customWidth="1" min="1" max="1"/>
    <col width="20" customWidth="1" min="2" max="2"/>
    <col width="40" customWidth="1" min="3" max="3"/>
    <col width="30" customWidth="1" min="4" max="4"/>
    <col width="30" customWidth="1" min="5" max="5"/>
    <col width="12" customWidth="1" min="6" max="6"/>
  </cols>
  <sheetData>
    <row r="1" ht="26" customHeight="1">
      <c r="B1" s="13" t="inlineStr">
        <is>
          <t>Root causes: five whys on the top three drivers</t>
        </is>
      </c>
    </row>
    <row r="2">
      <c r="B2" s="12" t="inlineStr">
        <is>
          <t>"In reviews" = customers say it. "To verify" = my hypothesis, to check against ticket and ops data.</t>
        </is>
      </c>
    </row>
    <row r="4">
      <c r="B4" s="30" t="inlineStr">
        <is>
          <t>No-shows &amp; cancellations</t>
        </is>
      </c>
    </row>
    <row r="5">
      <c r="B5" s="14" t="inlineStr">
        <is>
          <t>Problem</t>
        </is>
      </c>
      <c r="C5" s="32" t="inlineStr">
        <is>
          <t>Bookings fail at or after the slot time, and the customer is the last to know.</t>
        </is>
      </c>
    </row>
    <row r="6" ht="30" customHeight="1">
      <c r="B6" s="17" t="inlineStr">
        <is>
          <t>Why</t>
        </is>
      </c>
      <c r="C6" s="18" t="inlineStr">
        <is>
          <t>Answer</t>
        </is>
      </c>
      <c r="D6" s="18" t="inlineStr"/>
      <c r="E6" s="18" t="inlineStr"/>
      <c r="F6" s="18" t="inlineStr">
        <is>
          <t>Evidence</t>
        </is>
      </c>
    </row>
    <row r="7" ht="30" customHeight="1">
      <c r="B7" s="19" t="inlineStr">
        <is>
          <t>Why 1</t>
        </is>
      </c>
      <c r="C7" s="33" t="inlineStr">
        <is>
          <t>The assigned professional declined, went on leave or fell ill, and no one else was sent (#62, #247, #250).</t>
        </is>
      </c>
      <c r="D7" s="34" t="n"/>
      <c r="E7" s="34" t="n"/>
      <c r="F7" s="35" t="inlineStr">
        <is>
          <t>In reviews</t>
        </is>
      </c>
    </row>
    <row r="8" ht="30" customHeight="1">
      <c r="B8" s="19" t="inlineStr">
        <is>
          <t>Why 2</t>
        </is>
      </c>
      <c r="C8" s="33" t="inlineStr">
        <is>
          <t>Nobody checks before the slot that she is coming. The customer finds out at the slot time, or only when she calls support (#15, #193, #338).</t>
        </is>
      </c>
      <c r="D8" s="34" t="n"/>
      <c r="E8" s="34" t="n"/>
      <c r="F8" s="35" t="inlineStr">
        <is>
          <t>In reviews</t>
        </is>
      </c>
    </row>
    <row r="9" ht="30" customHeight="1">
      <c r="B9" s="19" t="inlineStr">
        <is>
          <t>Why 3</t>
        </is>
      </c>
      <c r="C9" s="33" t="inlineStr">
        <is>
          <t>Accepting a job does not lock the professional in: some call and ask the customer to cancel instead (#127, #219, #362).</t>
        </is>
      </c>
      <c r="D9" s="34" t="n"/>
      <c r="E9" s="34" t="n"/>
      <c r="F9" s="35" t="inlineStr">
        <is>
          <t>In reviews</t>
        </is>
      </c>
    </row>
    <row r="10" ht="30" customHeight="1">
      <c r="B10" s="19" t="inlineStr">
        <is>
          <t>Why 4</t>
        </is>
      </c>
      <c r="C10" s="33" t="inlineStr">
        <is>
          <t>The app shows slots when no professional is free, and products run short too, so there is no one ready to send instead (#73, #284, #394).</t>
        </is>
      </c>
      <c r="D10" s="34" t="n"/>
      <c r="E10" s="34" t="n"/>
      <c r="F10" s="35" t="inlineStr">
        <is>
          <t>In reviews</t>
        </is>
      </c>
    </row>
    <row r="11" ht="30" customHeight="1">
      <c r="B11" s="19" t="inlineStr">
        <is>
          <t>Why 5</t>
        </is>
      </c>
      <c r="C11" s="33" t="inlineStr">
        <is>
          <t>Slots are sold off the calendar, not off confirmed professional capacity in that area and hour, and payment is taken before anyone confirms.</t>
        </is>
      </c>
      <c r="D11" s="34" t="n"/>
      <c r="E11" s="34" t="n"/>
      <c r="F11" s="36" t="inlineStr">
        <is>
          <t>To verify</t>
        </is>
      </c>
    </row>
    <row r="12" ht="30" customHeight="1">
      <c r="B12" s="14" t="inlineStr">
        <is>
          <t>Root cause</t>
        </is>
      </c>
      <c r="C12" s="37" t="inlineStr">
        <is>
          <t>Slots are sold before a professional is confirmed, and nothing checks or backfills a dropped job before the slot time.</t>
        </is>
      </c>
    </row>
    <row r="13" ht="30" customHeight="1">
      <c r="B13" s="5" t="inlineStr">
        <is>
          <t>Would prove me wrong</t>
        </is>
      </c>
      <c r="C13" s="38" t="inlineStr">
        <is>
          <t>If most failed bookings had a professional confirmed 2 hours before the slot and still failed, the problem is on-the-day behaviour, not slot inventory.</t>
        </is>
      </c>
    </row>
    <row r="16">
      <c r="B16" s="30" t="inlineStr">
        <is>
          <t>Price &amp; offer clarity</t>
        </is>
      </c>
    </row>
    <row r="17">
      <c r="B17" s="14" t="inlineStr">
        <is>
          <t>Problem</t>
        </is>
      </c>
      <c r="C17" s="32" t="inlineStr">
        <is>
          <t>Customers feel tricked: the free offer is gone in a minute, and the price grows at checkout.</t>
        </is>
      </c>
    </row>
    <row r="18" ht="30" customHeight="1">
      <c r="B18" s="17" t="inlineStr">
        <is>
          <t>Why</t>
        </is>
      </c>
      <c r="C18" s="18" t="inlineStr">
        <is>
          <t>Answer</t>
        </is>
      </c>
      <c r="D18" s="18" t="inlineStr"/>
      <c r="E18" s="18" t="inlineStr"/>
      <c r="F18" s="18" t="inlineStr">
        <is>
          <t>Evidence</t>
        </is>
      </c>
    </row>
    <row r="19" ht="30" customHeight="1">
      <c r="B19" s="19" t="inlineStr">
        <is>
          <t>Why 1</t>
        </is>
      </c>
      <c r="C19" s="33" t="inlineStr">
        <is>
          <t>The offer they were sent could not be booked, or the final price was higher than the price shown (#10, #23).</t>
        </is>
      </c>
      <c r="D19" s="34" t="n"/>
      <c r="E19" s="34" t="n"/>
      <c r="F19" s="35" t="inlineStr">
        <is>
          <t>In reviews</t>
        </is>
      </c>
    </row>
    <row r="20" ht="30" customHeight="1">
      <c r="B20" s="19" t="inlineStr">
        <is>
          <t>Why 2</t>
        </is>
      </c>
      <c r="C20" s="33" t="inlineStr">
        <is>
          <t>The free pedicure opens at 1 pm for everyone. Slots are gone by 1:02, and the app crashes at checkout in the rush (#78, #121, #138).</t>
        </is>
      </c>
      <c r="D20" s="34" t="n"/>
      <c r="E20" s="34" t="n"/>
      <c r="F20" s="35" t="inlineStr">
        <is>
          <t>In reviews</t>
        </is>
      </c>
    </row>
    <row r="21" ht="30" customHeight="1">
      <c r="B21" s="19" t="inlineStr">
        <is>
          <t>Why 3</t>
        </is>
      </c>
      <c r="C21" s="33" t="inlineStr">
        <is>
          <t>It reads as a scam, not a sell-out: customers call it 'fake' and 'bluffing', and nothing tells them how few slots there were (#48, #77, #121).</t>
        </is>
      </c>
      <c r="D21" s="34" t="n"/>
      <c r="E21" s="34" t="n"/>
      <c r="F21" s="35" t="inlineStr">
        <is>
          <t>In reviews</t>
        </is>
      </c>
    </row>
    <row r="22" ht="30" customHeight="1">
      <c r="B22" s="19" t="inlineStr">
        <is>
          <t>Why 4</t>
        </is>
      </c>
      <c r="C22" s="33" t="inlineStr">
        <is>
          <t>Compulsory fees sit outside the listed price: a platform fee, a ₹99 kit charge, a ₹300 line labelled tax. They appear only at checkout (#55, #126, #190).</t>
        </is>
      </c>
      <c r="D22" s="34" t="n"/>
      <c r="E22" s="34" t="n"/>
      <c r="F22" s="35" t="inlineStr">
        <is>
          <t>In reviews</t>
        </is>
      </c>
    </row>
    <row r="23" ht="30" customHeight="1">
      <c r="B23" s="19" t="inlineStr">
        <is>
          <t>Why 5</t>
        </is>
      </c>
      <c r="C23" s="33" t="inlineStr">
        <is>
          <t>Offers and price pages are judged on installs and visits, not on how many offers are honoured or how many complaints they create.</t>
        </is>
      </c>
      <c r="D23" s="34" t="n"/>
      <c r="E23" s="34" t="n"/>
      <c r="F23" s="36" t="inlineStr">
        <is>
          <t>To verify</t>
        </is>
      </c>
    </row>
    <row r="24" ht="30" customHeight="1">
      <c r="B24" s="14" t="inlineStr">
        <is>
          <t>Root cause</t>
        </is>
      </c>
      <c r="C24" s="37" t="inlineStr">
        <is>
          <t>Offers and prices are built to attract, not to be honoured: a flash offer that sells out in minutes is pushed to everyone, and compulsory fees show up only at checkout.</t>
        </is>
      </c>
    </row>
    <row r="25" ht="30" customHeight="1">
      <c r="B25" s="5" t="inlineStr">
        <is>
          <t>Would prove me wrong</t>
        </is>
      </c>
      <c r="C25" s="38" t="inlineStr">
        <is>
          <t>If offer complaints spike only on days the app crashed at 1 pm, this is an engineering capacity problem, not offer design.</t>
        </is>
      </c>
    </row>
    <row r="28">
      <c r="B28" s="30" t="inlineStr">
        <is>
          <t>Service quality &amp; conduct</t>
        </is>
      </c>
    </row>
    <row r="29">
      <c r="B29" s="14" t="inlineStr">
        <is>
          <t>Problem</t>
        </is>
      </c>
      <c r="C29" s="32" t="inlineStr">
        <is>
          <t>The service itself goes wrong: untrained or rushed work, rude behaviour, and burns or rashes (11 of the 24 burn or reaction reviews follow waxing).</t>
        </is>
      </c>
    </row>
    <row r="30" ht="30" customHeight="1">
      <c r="B30" s="17" t="inlineStr">
        <is>
          <t>Why</t>
        </is>
      </c>
      <c r="C30" s="18" t="inlineStr">
        <is>
          <t>Answer</t>
        </is>
      </c>
      <c r="D30" s="18" t="inlineStr"/>
      <c r="E30" s="18" t="inlineStr"/>
      <c r="F30" s="18" t="inlineStr">
        <is>
          <t>Evidence</t>
        </is>
      </c>
    </row>
    <row r="31" ht="30" customHeight="1">
      <c r="B31" s="19" t="inlineStr">
        <is>
          <t>Why 1</t>
        </is>
      </c>
      <c r="C31" s="33" t="inlineStr">
        <is>
          <t>The professional lacked the skill for that service: burnt skin after waxing, ruined brows (#41, #152, #191).</t>
        </is>
      </c>
      <c r="D31" s="34" t="n"/>
      <c r="E31" s="34" t="n"/>
      <c r="F31" s="35" t="inlineStr">
        <is>
          <t>In reviews</t>
        </is>
      </c>
    </row>
    <row r="32" ht="30" customHeight="1">
      <c r="B32" s="19" t="inlineStr">
        <is>
          <t>Why 2</t>
        </is>
      </c>
      <c r="C32" s="33" t="inlineStr">
        <is>
          <t>Professionals reach customers before their skill on each service is proven. Quality is checked by ratings after the job, not before it.</t>
        </is>
      </c>
      <c r="D32" s="34" t="n"/>
      <c r="E32" s="34" t="n"/>
      <c r="F32" s="36" t="inlineStr">
        <is>
          <t>To verify</t>
        </is>
      </c>
    </row>
    <row r="33" ht="30" customHeight="1">
      <c r="B33" s="19" t="inlineStr">
        <is>
          <t>Why 3</t>
        </is>
      </c>
      <c r="C33" s="33" t="inlineStr">
        <is>
          <t>Professionals rush the job: 'in too much hurry', a facial done in 30 minutes (#50, #264, #351).</t>
        </is>
      </c>
      <c r="D33" s="34" t="n"/>
      <c r="E33" s="34" t="n"/>
      <c r="F33" s="35" t="inlineStr">
        <is>
          <t>In reviews</t>
        </is>
      </c>
    </row>
    <row r="34" ht="30" customHeight="1">
      <c r="B34" s="19" t="inlineStr">
        <is>
          <t>Why 4</t>
        </is>
      </c>
      <c r="C34" s="33" t="inlineStr">
        <is>
          <t>When something goes wrong, there is no real follow-up: a ₹400 coupon for a burnt hand, no reply to photos of a burn, a promised refund that never came (#41, #217, #104).</t>
        </is>
      </c>
      <c r="D34" s="34" t="n"/>
      <c r="E34" s="34" t="n"/>
      <c r="F34" s="35" t="inlineStr">
        <is>
          <t>In reviews</t>
        </is>
      </c>
    </row>
    <row r="35" ht="30" customHeight="1">
      <c r="B35" s="19" t="inlineStr">
        <is>
          <t>Why 5</t>
        </is>
      </c>
      <c r="C35" s="33" t="inlineStr">
        <is>
          <t>Complaints are closed case by case in support and don't flow back to the professional's record, training or assignment.</t>
        </is>
      </c>
      <c r="D35" s="34" t="n"/>
      <c r="E35" s="34" t="n"/>
      <c r="F35" s="36" t="inlineStr">
        <is>
          <t>To verify</t>
        </is>
      </c>
    </row>
    <row r="36" ht="30" customHeight="1">
      <c r="B36" s="14" t="inlineStr">
        <is>
          <t>Root cause</t>
        </is>
      </c>
      <c r="C36" s="37" t="inlineStr">
        <is>
          <t>No closed loop from complaint to professional: skill isn't certified per service before risky jobs like waxing, and complaints end in coupons instead of retraining.</t>
        </is>
      </c>
    </row>
    <row r="37" ht="30" customHeight="1">
      <c r="B37" s="5" t="inlineStr">
        <is>
          <t>Would prove me wrong</t>
        </is>
      </c>
      <c r="C37" s="38" t="inlineStr">
        <is>
          <t>If complaints are spread evenly across professionals rather than concentrated in a few, the problem is training content or products, not specific people.</t>
        </is>
      </c>
    </row>
  </sheetData>
  <mergeCells count="24">
    <mergeCell ref="C17:F17"/>
    <mergeCell ref="C31:E31"/>
    <mergeCell ref="C22:E22"/>
    <mergeCell ref="C9:E9"/>
    <mergeCell ref="C21:E21"/>
    <mergeCell ref="C37:F37"/>
    <mergeCell ref="C13:F13"/>
    <mergeCell ref="C11:E11"/>
    <mergeCell ref="C23:E23"/>
    <mergeCell ref="C8:E8"/>
    <mergeCell ref="C24:F24"/>
    <mergeCell ref="C7:E7"/>
    <mergeCell ref="C5:F5"/>
    <mergeCell ref="C32:E32"/>
    <mergeCell ref="C19:E19"/>
    <mergeCell ref="C29:F29"/>
    <mergeCell ref="C25:F25"/>
    <mergeCell ref="C34:E34"/>
    <mergeCell ref="C33:E33"/>
    <mergeCell ref="C12:F12"/>
    <mergeCell ref="C35:E35"/>
    <mergeCell ref="C20:E20"/>
    <mergeCell ref="C36:F36"/>
    <mergeCell ref="C10:E10"/>
  </mergeCells>
  <pageMargins left="0.75" right="0.75" top="1" bottom="1" header="0.5" footer="0.5"/>
  <pageSetup orientation="landscape" fitToHeight="0" fitToWidth="1"/>
</worksheet>
</file>

<file path=xl/worksheets/sheet5.xml><?xml version="1.0" encoding="utf-8"?>
<worksheet xmlns="http://schemas.openxmlformats.org/spreadsheetml/2006/main">
  <sheetPr>
    <tabColor rgb="002A78D6"/>
    <outlinePr summaryBelow="1" summaryRight="1"/>
    <pageSetUpPr fitToPage="1"/>
  </sheetPr>
  <dimension ref="B1:F36"/>
  <sheetViews>
    <sheetView showGridLines="0" workbookViewId="0">
      <selection activeCell="A1" sqref="A1"/>
    </sheetView>
  </sheetViews>
  <sheetFormatPr baseColWidth="8" defaultRowHeight="15"/>
  <cols>
    <col width="2" customWidth="1" min="1" max="1"/>
    <col width="34" customWidth="1" min="2" max="2"/>
    <col width="14" customWidth="1" min="3" max="3"/>
    <col width="52" customWidth="1" min="4" max="4"/>
    <col width="14" customWidth="1" min="5" max="5"/>
    <col width="14" customWidth="1" min="6" max="6"/>
  </cols>
  <sheetData>
    <row r="1" ht="26" customHeight="1">
      <c r="B1" s="13" t="inlineStr">
        <is>
          <t>Impact in contacts and rupees</t>
        </is>
      </c>
    </row>
    <row r="2">
      <c r="B2" s="12" t="inlineStr">
        <is>
          <t>Yellow cells are assumptions. Change them and everything below updates. Driver mix comes from the Pareto tab.</t>
        </is>
      </c>
    </row>
    <row r="4" ht="30" customHeight="1">
      <c r="B4" s="17" t="inlineStr">
        <is>
          <t>Assumption</t>
        </is>
      </c>
      <c r="C4" s="18" t="inlineStr">
        <is>
          <t>Value</t>
        </is>
      </c>
      <c r="D4" s="18" t="inlineStr">
        <is>
          <t>Note</t>
        </is>
      </c>
    </row>
    <row r="5">
      <c r="B5" s="20" t="inlineStr">
        <is>
          <t>Bookings a month</t>
        </is>
      </c>
      <c r="C5" s="39" t="n">
        <v>350000</v>
      </c>
      <c r="D5" s="19" t="inlineStr">
        <is>
          <t>Public figure: about 3.5 lakh bookings a month</t>
        </is>
      </c>
    </row>
    <row r="6">
      <c r="B6" s="20" t="inlineStr">
        <is>
          <t>Contacts per 100 bookings</t>
        </is>
      </c>
      <c r="C6" s="40" t="n">
        <v>12</v>
      </c>
      <c r="D6" s="19" t="inlineStr">
        <is>
          <t>Assumption. Typical for at-home services: 8–15. Replace with the real number</t>
        </is>
      </c>
    </row>
    <row r="7">
      <c r="B7" s="20" t="inlineStr">
        <is>
          <t>Cost per contact (₹)</t>
        </is>
      </c>
      <c r="C7" s="41" t="n">
        <v>45</v>
      </c>
      <c r="D7" s="19" t="inlineStr">
        <is>
          <t>Assumption: blended chat and voice</t>
        </is>
      </c>
    </row>
    <row r="8">
      <c r="B8" s="20" t="inlineStr">
        <is>
          <t>Cut in top-3 contacts from the fixes</t>
        </is>
      </c>
      <c r="C8" s="42" t="n">
        <v>0.3</v>
      </c>
      <c r="D8" s="19" t="inlineStr">
        <is>
          <t>Target for the three fixes</t>
        </is>
      </c>
    </row>
    <row r="9">
      <c r="B9" s="20" t="inlineStr">
        <is>
          <t>Customers lost per top-3 contact</t>
        </is>
      </c>
      <c r="C9" s="42" t="n">
        <v>0.1</v>
      </c>
      <c r="D9" s="19" t="inlineStr">
        <is>
          <t>Reviews say 16%; the real rate is lower, so this is cautious</t>
        </is>
      </c>
    </row>
    <row r="10">
      <c r="B10" s="20" t="inlineStr">
        <is>
          <t>Yearly value of a customer (₹)</t>
        </is>
      </c>
      <c r="C10" s="41" t="n">
        <v>5400</v>
      </c>
      <c r="D10" s="19" t="inlineStr">
        <is>
          <t>Assumption: about ₹1,350 a visit, 4 visits a year</t>
        </is>
      </c>
    </row>
    <row r="13" ht="30" customHeight="1">
      <c r="B13" s="17" t="inlineStr">
        <is>
          <t>Result</t>
        </is>
      </c>
      <c r="C13" s="18" t="inlineStr">
        <is>
          <t>Value</t>
        </is>
      </c>
      <c r="D13" s="18" t="inlineStr">
        <is>
          <t>How</t>
        </is>
      </c>
    </row>
    <row r="14">
      <c r="B14" s="20" t="inlineStr">
        <is>
          <t>Contacts a month</t>
        </is>
      </c>
      <c r="C14" s="43">
        <f>inp_bookings*inp_rate/100</f>
        <v>42000</v>
      </c>
      <c r="D14" s="19" t="inlineStr">
        <is>
          <t>bookings × contacts per 100</t>
        </is>
      </c>
    </row>
    <row r="15">
      <c r="B15" s="20" t="inlineStr">
        <is>
          <t>Support cost a month</t>
        </is>
      </c>
      <c r="C15" s="44">
        <f>C14*inp_cost</f>
        <v>1890000</v>
      </c>
      <c r="D15" s="19" t="inlineStr">
        <is>
          <t>contacts × cost per contact</t>
        </is>
      </c>
    </row>
    <row r="16">
      <c r="B16" s="20" t="inlineStr">
        <is>
          <t>Contacts from the top 3 drivers</t>
        </is>
      </c>
      <c r="C16" s="43">
        <f>C14*top3_share</f>
        <v>24791.6666666667</v>
      </c>
      <c r="D16" s="19" t="inlineStr">
        <is>
          <t>contacts × top-3 share of complaints</t>
        </is>
      </c>
    </row>
    <row r="17">
      <c r="B17" s="20" t="inlineStr">
        <is>
          <t>Contacts removed a month</t>
        </is>
      </c>
      <c r="C17" s="43">
        <f>C16*inp_cut</f>
        <v>7437.5</v>
      </c>
      <c r="D17" s="19" t="inlineStr">
        <is>
          <t>top-3 contacts × cut</t>
        </is>
      </c>
    </row>
    <row r="18">
      <c r="B18" s="20" t="inlineStr">
        <is>
          <t>Support cost saved a year</t>
        </is>
      </c>
      <c r="C18" s="44">
        <f>C17*inp_cost*12</f>
        <v>4016250</v>
      </c>
      <c r="D18" s="19" t="inlineStr">
        <is>
          <t>removed contacts × cost × 12</t>
        </is>
      </c>
    </row>
    <row r="19">
      <c r="B19" s="20" t="inlineStr">
        <is>
          <t>Customers kept a month</t>
        </is>
      </c>
      <c r="C19" s="43">
        <f>C17*inp_lost</f>
        <v>743.75</v>
      </c>
      <c r="D19" s="19" t="inlineStr">
        <is>
          <t>removed contacts × customers lost per contact</t>
        </is>
      </c>
    </row>
    <row r="20">
      <c r="B20" s="20" t="inlineStr">
        <is>
          <t>Revenue kept a year (up to)</t>
        </is>
      </c>
      <c r="C20" s="44">
        <f>C19*12*inp_value</f>
        <v>48195000</v>
      </c>
      <c r="D20" s="19" t="inlineStr">
        <is>
          <t>customers kept × 12 × yearly value</t>
        </is>
      </c>
    </row>
    <row r="23">
      <c r="B23" s="8" t="inlineStr">
        <is>
          <t>By driver, per month</t>
        </is>
      </c>
    </row>
    <row r="24" ht="30" customHeight="1">
      <c r="B24" s="17" t="inlineStr">
        <is>
          <t>Driver</t>
        </is>
      </c>
      <c r="C24" s="18" t="inlineStr">
        <is>
          <t>Share</t>
        </is>
      </c>
      <c r="D24" s="18" t="inlineStr">
        <is>
          <t>Contacts</t>
        </is>
      </c>
      <c r="E24" s="18" t="inlineStr">
        <is>
          <t>Cost</t>
        </is>
      </c>
      <c r="F24" s="18" t="inlineStr">
        <is>
          <t>After fixes</t>
        </is>
      </c>
    </row>
    <row r="25">
      <c r="B25" s="20" t="inlineStr">
        <is>
          <t>No-shows &amp; cancellations</t>
        </is>
      </c>
      <c r="C25" s="45">
        <f>Pareto!E9</f>
        <v>0.204861111111111</v>
      </c>
      <c r="D25" s="24">
        <f>$C$14*C25</f>
        <v>8604.16666666667</v>
      </c>
      <c r="E25" s="46">
        <f>D25*inp_cost</f>
        <v>387187.5</v>
      </c>
      <c r="F25" s="24">
        <f>IF(Pareto!K9="Yes",D25*(1-inp_cut),D25)</f>
        <v>6022.91666666667</v>
      </c>
    </row>
    <row r="26">
      <c r="B26" s="20" t="inlineStr">
        <is>
          <t>Price &amp; offer clarity</t>
        </is>
      </c>
      <c r="C26" s="45">
        <f>Pareto!E10</f>
        <v>0.194444444444444</v>
      </c>
      <c r="D26" s="24">
        <f>$C$14*C26</f>
        <v>8166.66666666667</v>
      </c>
      <c r="E26" s="46">
        <f>D26*inp_cost</f>
        <v>367500</v>
      </c>
      <c r="F26" s="24">
        <f>IF(Pareto!K10="Yes",D26*(1-inp_cut),D26)</f>
        <v>5716.66666666667</v>
      </c>
    </row>
    <row r="27">
      <c r="B27" s="20" t="inlineStr">
        <is>
          <t>Service quality &amp; conduct</t>
        </is>
      </c>
      <c r="C27" s="45">
        <f>Pareto!E11</f>
        <v>0.190972222222222</v>
      </c>
      <c r="D27" s="24">
        <f>$C$14*C27</f>
        <v>8020.83333333333</v>
      </c>
      <c r="E27" s="46">
        <f>D27*inp_cost</f>
        <v>360937.5</v>
      </c>
      <c r="F27" s="24">
        <f>IF(Pareto!K11="Yes",D27*(1-inp_cut),D27)</f>
        <v>5614.58333333333</v>
      </c>
    </row>
    <row r="28">
      <c r="B28" s="27" t="inlineStr">
        <is>
          <t>Products used</t>
        </is>
      </c>
      <c r="C28" s="45">
        <f>Pareto!E12</f>
        <v>0.104166666666667</v>
      </c>
      <c r="D28" s="24">
        <f>$C$14*C28</f>
        <v>4375</v>
      </c>
      <c r="E28" s="46">
        <f>D28*inp_cost</f>
        <v>196875</v>
      </c>
      <c r="F28" s="24">
        <f>IF(Pareto!K12="Yes",D28*(1-inp_cut),D28)</f>
        <v>4375</v>
      </c>
    </row>
    <row r="29">
      <c r="B29" s="27" t="inlineStr">
        <is>
          <t>App &amp; booking bugs</t>
        </is>
      </c>
      <c r="C29" s="45">
        <f>Pareto!E13</f>
        <v>0.100694444444444</v>
      </c>
      <c r="D29" s="24">
        <f>$C$14*C29</f>
        <v>4229.16666666667</v>
      </c>
      <c r="E29" s="46">
        <f>D29*inp_cost</f>
        <v>190312.5</v>
      </c>
      <c r="F29" s="24">
        <f>IF(Pareto!K13="Yes",D29*(1-inp_cut),D29)</f>
        <v>4229.16666666667</v>
      </c>
    </row>
    <row r="30">
      <c r="B30" s="27" t="inlineStr">
        <is>
          <t>Payments &amp; refunds</t>
        </is>
      </c>
      <c r="C30" s="45">
        <f>Pareto!E14</f>
        <v>0.0416666666666667</v>
      </c>
      <c r="D30" s="24">
        <f>$C$14*C30</f>
        <v>1750</v>
      </c>
      <c r="E30" s="46">
        <f>D30*inp_cost</f>
        <v>78750</v>
      </c>
      <c r="F30" s="24">
        <f>IF(Pareto!K14="Yes",D30*(1-inp_cut),D30)</f>
        <v>1750</v>
      </c>
    </row>
    <row r="31">
      <c r="B31" s="27" t="inlineStr">
        <is>
          <t>Support itself</t>
        </is>
      </c>
      <c r="C31" s="45">
        <f>Pareto!E15</f>
        <v>0.0173611111111111</v>
      </c>
      <c r="D31" s="24">
        <f>$C$14*C31</f>
        <v>729.166666666667</v>
      </c>
      <c r="E31" s="46">
        <f>D31*inp_cost</f>
        <v>32812.5</v>
      </c>
      <c r="F31" s="24">
        <f>IF(Pareto!K15="Yes",D31*(1-inp_cut),D31)</f>
        <v>729.166666666667</v>
      </c>
    </row>
    <row r="32">
      <c r="B32" s="27" t="inlineStr">
        <is>
          <t>Late arrivals</t>
        </is>
      </c>
      <c r="C32" s="45">
        <f>Pareto!E16</f>
        <v>0.0138888888888889</v>
      </c>
      <c r="D32" s="24">
        <f>$C$14*C32</f>
        <v>583.333333333333</v>
      </c>
      <c r="E32" s="46">
        <f>D32*inp_cost</f>
        <v>26250</v>
      </c>
      <c r="F32" s="24">
        <f>IF(Pareto!K16="Yes",D32*(1-inp_cut),D32)</f>
        <v>583.333333333333</v>
      </c>
    </row>
    <row r="33">
      <c r="B33" s="27" t="inlineStr">
        <is>
          <t>Other or vague</t>
        </is>
      </c>
      <c r="C33" s="45">
        <f>Pareto!E17</f>
        <v>0.131944444444444</v>
      </c>
      <c r="D33" s="24">
        <f>$C$14*C33</f>
        <v>5541.66666666667</v>
      </c>
      <c r="E33" s="46">
        <f>D33*inp_cost</f>
        <v>249375</v>
      </c>
      <c r="F33" s="24">
        <f>IF(Pareto!K17="Yes",D33*(1-inp_cut),D33)</f>
        <v>5541.66666666667</v>
      </c>
    </row>
    <row r="34">
      <c r="B34" s="14" t="inlineStr">
        <is>
          <t>Total</t>
        </is>
      </c>
      <c r="C34" s="28">
        <f>SUM(C25:C33)</f>
        <v>1</v>
      </c>
      <c r="D34" s="15">
        <f>SUM(D25:D33)</f>
        <v>42000</v>
      </c>
      <c r="E34" s="47">
        <f>SUM(E25:E33)</f>
        <v>1890000</v>
      </c>
      <c r="F34" s="15">
        <f>SUM(F25:F33)</f>
        <v>34562.5</v>
      </c>
    </row>
    <row r="36">
      <c r="B36" s="12" t="inlineStr">
        <is>
          <t>Caveat: the driver mix comes from reviews, which over-weight severe problems. Real ticket data would replace it in week 1.</t>
        </is>
      </c>
    </row>
  </sheetData>
  <pageMargins left="0.75" right="0.75" top="1" bottom="1" header="0.5" footer="0.5"/>
  <pageSetup orientation="landscape" fitToHeight="0" fitToWidth="1"/>
</worksheet>
</file>

<file path=xl/worksheets/sheet6.xml><?xml version="1.0" encoding="utf-8"?>
<worksheet xmlns="http://schemas.openxmlformats.org/spreadsheetml/2006/main">
  <sheetPr>
    <tabColor rgb="002A78D6"/>
    <outlinePr summaryBelow="1" summaryRight="1"/>
    <pageSetUpPr fitToPage="1"/>
  </sheetPr>
  <dimension ref="B1:H13"/>
  <sheetViews>
    <sheetView showGridLines="0" workbookViewId="0">
      <selection activeCell="A1" sqref="A1"/>
    </sheetView>
  </sheetViews>
  <sheetFormatPr baseColWidth="8" defaultRowHeight="15"/>
  <cols>
    <col width="2" customWidth="1" min="1" max="1"/>
    <col width="26" customWidth="1" min="2" max="2"/>
    <col width="22" customWidth="1" min="3" max="3"/>
    <col width="16" customWidth="1" min="4" max="4"/>
    <col width="40" customWidth="1" min="5" max="5"/>
    <col width="22" customWidth="1" min="6" max="6"/>
    <col width="22" customWidth="1" min="7" max="7"/>
    <col width="44" customWidth="1" min="8" max="8"/>
  </cols>
  <sheetData>
    <row r="1" ht="26" customHeight="1">
      <c r="B1" s="13" t="inlineStr">
        <is>
          <t>First three fixes, and how I'd measure them</t>
        </is>
      </c>
    </row>
    <row r="2">
      <c r="B2" s="12" t="inlineStr">
        <is>
          <t>One fix per top driver. Each has an owner, one metric, a target and a test.</t>
        </is>
      </c>
    </row>
    <row r="4" ht="30" customHeight="1">
      <c r="B4" s="17" t="inlineStr">
        <is>
          <t>Fix</t>
        </is>
      </c>
      <c r="C4" s="18" t="inlineStr">
        <is>
          <t>Driver</t>
        </is>
      </c>
      <c r="D4" s="18" t="inlineStr">
        <is>
          <t>Owner</t>
        </is>
      </c>
      <c r="E4" s="18" t="inlineStr">
        <is>
          <t>What changes</t>
        </is>
      </c>
      <c r="F4" s="18" t="inlineStr">
        <is>
          <t>Metric</t>
        </is>
      </c>
      <c r="G4" s="18" t="inlineStr">
        <is>
          <t>Target</t>
        </is>
      </c>
      <c r="H4" s="18" t="inlineStr">
        <is>
          <t>How I'd measure it</t>
        </is>
      </c>
    </row>
    <row r="5" ht="75" customHeight="1">
      <c r="B5" s="48" t="inlineStr">
        <is>
          <t>Confirm or reassign 2 hours before</t>
        </is>
      </c>
      <c r="C5" s="33" t="inlineStr">
        <is>
          <t>No-shows &amp; cancellations</t>
        </is>
      </c>
      <c r="D5" s="33" t="inlineStr">
        <is>
          <t>City Ops, Supply and Product</t>
        </is>
      </c>
      <c r="E5" s="33" t="inlineStr">
        <is>
          <t>Professional confirms 2 hours before the slot. No confirmation means auto-reassign from the nearby pool, and the customer gets a message with a choice before the slot, not after. Sell slots only against confirmed capacity. Log a professional's 'please cancel' as a partner cancellation.</t>
        </is>
      </c>
      <c r="F5" s="33" t="inlineStr">
        <is>
          <t>Failed bookings per 100, partner side</t>
        </is>
      </c>
      <c r="G5" s="33" t="inlineStr">
        <is>
          <t>Down 40% in 8 weeks; 90% of failures with 2+ hours' notice</t>
        </is>
      </c>
      <c r="H5" s="33" t="inlineStr">
        <is>
          <t>Pilot in 2 cities against 2 similar cities for 4 weeks. Track failed bookings, notice given, reassign success, and contacts per 100 bookings for 'where is my professional'.</t>
        </is>
      </c>
    </row>
    <row r="6" ht="75" customHeight="1">
      <c r="B6" s="48" t="inlineStr">
        <is>
          <t>Price shown is price paid; honest offers</t>
        </is>
      </c>
      <c r="C6" s="33" t="inlineStr">
        <is>
          <t>Price &amp; offer clarity</t>
        </is>
      </c>
      <c r="D6" s="33" t="inlineStr">
        <is>
          <t>Growth, Product and Finance</t>
        </is>
      </c>
      <c r="E6" s="33" t="inlineStr">
        <is>
          <t>Show compulsory fees inside the listed price. Label flash offers with the number of slots ('200 free pedicures today') and give a waitlist or coupon when they run out. Load-test the 1 pm checkout.</t>
        </is>
      </c>
      <c r="F6" s="33" t="inlineStr">
        <is>
          <t>Offer and price complaints per 1,000 bookings</t>
        </is>
      </c>
      <c r="G6" s="33" t="inlineStr">
        <is>
          <t>Down 50%, with checkout conversion flat or better</t>
        </is>
      </c>
      <c r="H6" s="33" t="inlineStr">
        <is>
          <t>A/B test all-in prices on 10% of users for 2 weeks: conversion, cart-to-payment drop-off, and contacts tagged offer or charges. Track app crashes in the 1 pm window.</t>
        </is>
      </c>
    </row>
    <row r="7" ht="75" customHeight="1">
      <c r="B7" s="48" t="inlineStr">
        <is>
          <t>Certify risky services; close the loop on complaints</t>
        </is>
      </c>
      <c r="C7" s="33" t="inlineStr">
        <is>
          <t>Service quality &amp; conduct</t>
        </is>
      </c>
      <c r="D7" s="33" t="inlineStr">
        <is>
          <t>Training &amp; QA and CX</t>
        </is>
      </c>
      <c r="E7" s="33" t="inlineStr">
        <is>
          <t>Certify each professional per service, waxing first, before she is assigned it. Every injury complaint gets a call within 24 hours, care for the customer, and the professional is paused and retrained. Weekly list of professionals with 2+ complaints.</t>
        </is>
      </c>
      <c r="F7" s="33" t="inlineStr">
        <is>
          <t>Injury and quality complaints per 1,000 jobs</t>
        </is>
      </c>
      <c r="G7" s="33" t="inlineStr">
        <is>
          <t>Down 30% in 12 weeks; no repeat complaint within 30 days of retraining</t>
        </is>
      </c>
      <c r="H7" s="33" t="inlineStr">
        <is>
          <t>Before and after by hub cohort. Check how concentrated complaints are: if the worst 10% of professionals carry most of them, target them first.</t>
        </is>
      </c>
    </row>
    <row r="9">
      <c r="B9" s="8" t="inlineStr">
        <is>
          <t>First 30 days</t>
        </is>
      </c>
    </row>
    <row r="10">
      <c r="B10" s="11" t="inlineStr">
        <is>
          <t>•</t>
        </is>
      </c>
      <c r="C10" s="32" t="inlineStr">
        <is>
          <t>Week 1: pull the last 90 days of support tickets and tag them with this codebook. Compare the ticket mix with this review mix.</t>
        </is>
      </c>
    </row>
    <row r="11">
      <c r="B11" s="11" t="inlineStr">
        <is>
          <t>•</t>
        </is>
      </c>
      <c r="C11" s="32" t="inlineStr">
        <is>
          <t>Week 2: put rupees on each driver from real data: contacts, refunds, compensation coupons and lost repeat bookings.</t>
        </is>
      </c>
    </row>
    <row r="12">
      <c r="B12" s="11" t="inlineStr">
        <is>
          <t>•</t>
        </is>
      </c>
      <c r="C12" s="32" t="inlineStr">
        <is>
          <t>Week 3: start the two pilots: confirm-or-reassign in 2 cities, and all-in prices for 10% of users.</t>
        </is>
      </c>
    </row>
    <row r="13">
      <c r="B13" s="11" t="inlineStr">
        <is>
          <t>•</t>
        </is>
      </c>
      <c r="C13" s="32" t="inlineStr">
        <is>
          <t>Week 4: first readout to you, and a weekly contacts-per-100-bookings view by driver.</t>
        </is>
      </c>
    </row>
  </sheetData>
  <mergeCells count="4">
    <mergeCell ref="C12:H12"/>
    <mergeCell ref="C11:H11"/>
    <mergeCell ref="C13:H13"/>
    <mergeCell ref="C10:H10"/>
  </mergeCells>
  <pageMargins left="0.75" right="0.75" top="1" bottom="1" header="0.5" footer="0.5"/>
  <pageSetup orientation="landscape" fitToHeight="0" fitToWidth="1"/>
</worksheet>
</file>

<file path=xl/worksheets/sheet7.xml><?xml version="1.0" encoding="utf-8"?>
<worksheet xmlns="http://schemas.openxmlformats.org/spreadsheetml/2006/main">
  <sheetPr>
    <tabColor rgb="002A78D6"/>
    <outlinePr summaryBelow="1" summaryRight="1"/>
    <pageSetUpPr fitToPage="1"/>
  </sheetPr>
  <dimension ref="B1:J24"/>
  <sheetViews>
    <sheetView showGridLines="0" workbookViewId="0">
      <selection activeCell="A1" sqref="A1"/>
    </sheetView>
  </sheetViews>
  <sheetFormatPr baseColWidth="8" defaultRowHeight="15"/>
  <cols>
    <col width="2" customWidth="1" min="1" max="1"/>
    <col width="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26" customHeight="1">
      <c r="B1" s="13" t="inlineStr">
        <is>
          <t>One-page readout</t>
        </is>
      </c>
    </row>
    <row r="2">
      <c r="B2" s="12" t="inlineStr">
        <is>
          <t>Why customers contact Yes Madam, and what to fix first.</t>
        </is>
      </c>
    </row>
    <row r="4">
      <c r="B4" s="30" t="inlineStr">
        <is>
          <t>Problem</t>
        </is>
      </c>
    </row>
    <row r="5" ht="30" customHeight="1">
      <c r="B5" s="11" t="inlineStr">
        <is>
          <t>•</t>
        </is>
      </c>
      <c r="C5" s="32" t="inlineStr">
        <is>
          <t>Customers who write reviews are mostly unhappy: 58% of the 500 most recent App Store reviews are complaints and 45% are 1★, against a 4.73★ store average.</t>
        </is>
      </c>
    </row>
    <row r="6" ht="30" customHeight="1">
      <c r="B6" s="11" t="inlineStr">
        <is>
          <t>•</t>
        </is>
      </c>
      <c r="C6" s="32" t="inlineStr">
        <is>
          <t>59% of complaints come from three drivers: no-shows and cancellations (20%), price and offer clarity (19%) and service quality (19%).</t>
        </is>
      </c>
    </row>
    <row r="7" ht="30" customHeight="1">
      <c r="B7" s="11" t="inlineStr">
        <is>
          <t>•</t>
        </is>
      </c>
      <c r="C7" s="32" t="inlineStr">
        <is>
          <t>25% of complaints say they already contacted support, and the same three drivers are 71% of those; no-shows and cancellations alone are 36%. 13% say they will stop using the app.</t>
        </is>
      </c>
    </row>
    <row r="9">
      <c r="B9" s="30" t="inlineStr">
        <is>
          <t>Root cause</t>
        </is>
      </c>
    </row>
    <row r="10" ht="30" customHeight="1">
      <c r="B10" s="11" t="inlineStr">
        <is>
          <t>•</t>
        </is>
      </c>
      <c r="C10" s="32" t="inlineStr">
        <is>
          <t>Slots are sold before a professional is confirmed, and nothing checks or backfills a dropped job before the slot time.</t>
        </is>
      </c>
    </row>
    <row r="11" ht="30" customHeight="1">
      <c r="B11" s="11" t="inlineStr">
        <is>
          <t>•</t>
        </is>
      </c>
      <c r="C11" s="32" t="inlineStr">
        <is>
          <t>Offers and prices are built to attract, not to be honoured: a flash offer that sells out in minutes is pushed to everyone, and compulsory fees show up only at checkout.</t>
        </is>
      </c>
    </row>
    <row r="12" ht="30" customHeight="1">
      <c r="B12" s="11" t="inlineStr">
        <is>
          <t>•</t>
        </is>
      </c>
      <c r="C12" s="32" t="inlineStr">
        <is>
          <t>No closed loop from complaint to professional: skill isn't certified per service before risky jobs like waxing, and complaints end in coupons instead of retraining.</t>
        </is>
      </c>
    </row>
    <row r="14">
      <c r="B14" s="30" t="inlineStr">
        <is>
          <t>Impact</t>
        </is>
      </c>
    </row>
    <row r="15" ht="30" customHeight="1">
      <c r="B15" s="11" t="inlineStr">
        <is>
          <t>•</t>
        </is>
      </c>
      <c r="C15" s="32" t="inlineStr">
        <is>
          <t>At about 3.5 lakh bookings a month and an assumed 12 contacts per 100 bookings, that is about 42,000 contacts a month.</t>
        </is>
      </c>
    </row>
    <row r="16" ht="30" customHeight="1">
      <c r="B16" s="11" t="inlineStr">
        <is>
          <t>•</t>
        </is>
      </c>
      <c r="C16" s="32" t="inlineStr">
        <is>
          <t>The top three drivers would be about 59% of them, about 24,800 a month. A 30% cut removes about 7,400 contacts a month, or ₹40.2 L a year at ₹45 a contact.</t>
        </is>
      </c>
    </row>
    <row r="17" ht="30" customHeight="1">
      <c r="B17" s="11" t="inlineStr">
        <is>
          <t>•</t>
        </is>
      </c>
      <c r="C17" s="32" t="inlineStr">
        <is>
          <t>The bigger prize is retention: if 1 in 10 customers behind those bad experiences would otherwise leave, keeping them is worth up to ₹4.8 Cr a year at ₹5,400 a customer.</t>
        </is>
      </c>
    </row>
    <row r="19">
      <c r="B19" s="30" t="inlineStr">
        <is>
          <t>Action</t>
        </is>
      </c>
    </row>
    <row r="20" ht="30" customHeight="1">
      <c r="B20" s="11" t="inlineStr">
        <is>
          <t>•</t>
        </is>
      </c>
      <c r="C20" s="32" t="inlineStr">
        <is>
          <t>Confirm or reassign 2 hours before: failed bookings per 100, partner side, down 40% in 8 weeks; 90% of failures with 2+ hours' notice.</t>
        </is>
      </c>
    </row>
    <row r="21" ht="30" customHeight="1">
      <c r="B21" s="11" t="inlineStr">
        <is>
          <t>•</t>
        </is>
      </c>
      <c r="C21" s="32" t="inlineStr">
        <is>
          <t>Price shown is price paid; honest offers: offer and price complaints per 1,000 bookings, down 50%, with checkout conversion flat or better.</t>
        </is>
      </c>
    </row>
    <row r="22" ht="30" customHeight="1">
      <c r="B22" s="11" t="inlineStr">
        <is>
          <t>•</t>
        </is>
      </c>
      <c r="C22" s="32" t="inlineStr">
        <is>
          <t>Certify risky services; close the loop on complaints: injury and quality complaints per 1,000 jobs, down 30% in 12 weeks; no repeat complaint within 30 days of retraining.</t>
        </is>
      </c>
    </row>
    <row r="24" ht="30" customHeight="1">
      <c r="B24" s="49" t="inlineStr">
        <is>
          <t>Based on 500 public App Store reviews, which skew negative and towards iPhone users, and are not ticket data. Use them for the mix of problems; confirm the size with support tickets in week 1.</t>
        </is>
      </c>
    </row>
  </sheetData>
  <mergeCells count="13">
    <mergeCell ref="C17:J17"/>
    <mergeCell ref="C12:J12"/>
    <mergeCell ref="C7:J7"/>
    <mergeCell ref="C21:J21"/>
    <mergeCell ref="C20:J20"/>
    <mergeCell ref="C15:J15"/>
    <mergeCell ref="C11:J11"/>
    <mergeCell ref="C6:J6"/>
    <mergeCell ref="C10:J10"/>
    <mergeCell ref="C16:J16"/>
    <mergeCell ref="C5:J5"/>
    <mergeCell ref="C22:J22"/>
    <mergeCell ref="B24:J24"/>
  </mergeCells>
  <pageMargins left="0.75" right="0.75" top="1" bottom="1" header="0.5" footer="0.5"/>
  <pageSetup orientation="portrait" fitToHeight="0" fitToWidth="1"/>
</worksheet>
</file>

<file path=xl/worksheets/sheet8.xml><?xml version="1.0" encoding="utf-8"?>
<worksheet xmlns="http://schemas.openxmlformats.org/spreadsheetml/2006/main">
  <sheetPr>
    <tabColor rgb="00EB6834"/>
    <outlinePr summaryBelow="1" summaryRight="1"/>
    <pageSetUpPr fitToPage="1"/>
  </sheetPr>
  <dimension ref="B1:F19"/>
  <sheetViews>
    <sheetView showGridLines="0" workbookViewId="0">
      <selection activeCell="A1" sqref="A1"/>
    </sheetView>
  </sheetViews>
  <sheetFormatPr baseColWidth="8" defaultRowHeight="15"/>
  <cols>
    <col width="2" customWidth="1" min="1" max="1"/>
    <col width="22" customWidth="1" min="2" max="2"/>
    <col width="28" customWidth="1" min="3" max="3"/>
    <col width="12" customWidth="1" min="4" max="4"/>
    <col width="14" customWidth="1" min="5" max="5"/>
    <col width="10" customWidth="1" min="6" max="6"/>
  </cols>
  <sheetData>
    <row r="1" ht="26" customHeight="1">
      <c r="B1" s="13" t="inlineStr">
        <is>
          <t>Benchmark: Urban Company</t>
        </is>
      </c>
    </row>
    <row r="2">
      <c r="B2" s="12" t="inlineStr">
        <is>
          <t>Same codebook on Urban Company's 500 most recent App Store reviews. Urban Company covers all home services.</t>
        </is>
      </c>
    </row>
    <row r="4">
      <c r="B4" s="14" t="inlineStr">
        <is>
          <t>Urban Company complaints</t>
        </is>
      </c>
      <c r="D4" s="15">
        <f>COUNTA(u_primary)-COUNTIF(u_primary,"praise")</f>
        <v>301</v>
      </c>
    </row>
    <row r="6" ht="30" customHeight="1">
      <c r="B6" s="17" t="inlineStr">
        <is>
          <t>Driver key</t>
        </is>
      </c>
      <c r="C6" s="18" t="inlineStr">
        <is>
          <t>Driver</t>
        </is>
      </c>
      <c r="D6" s="18" t="inlineStr">
        <is>
          <t>Yes Madam</t>
        </is>
      </c>
      <c r="E6" s="18" t="inlineStr">
        <is>
          <t>Urban Company</t>
        </is>
      </c>
      <c r="F6" s="18" t="inlineStr">
        <is>
          <t>Gap (pts)</t>
        </is>
      </c>
    </row>
    <row r="7">
      <c r="B7" s="19" t="inlineStr">
        <is>
          <t>partner_cancellation</t>
        </is>
      </c>
      <c r="C7" s="20" t="inlineStr">
        <is>
          <t>No-shows &amp; cancellations</t>
        </is>
      </c>
      <c r="D7" s="22">
        <f>COUNTIF(r_primary,B7)/n_comp</f>
        <v>0.204861111111111</v>
      </c>
      <c r="E7" s="22">
        <f>COUNTIF(u_primary,B7)/u_comp</f>
        <v>0.245847176079734</v>
      </c>
      <c r="F7" s="50">
        <f>(D7-E7)*100</f>
        <v>-4.09860649686231</v>
      </c>
    </row>
    <row r="8">
      <c r="B8" s="19" t="inlineStr">
        <is>
          <t>price_clarity</t>
        </is>
      </c>
      <c r="C8" s="20" t="inlineStr">
        <is>
          <t>Price &amp; offer clarity</t>
        </is>
      </c>
      <c r="D8" s="22">
        <f>COUNTIF(r_primary,B8)/n_comp</f>
        <v>0.194444444444444</v>
      </c>
      <c r="E8" s="22">
        <f>COUNTIF(u_primary,B8)/u_comp</f>
        <v>0.162790697674419</v>
      </c>
      <c r="F8" s="50">
        <f>(D8-E8)*100</f>
        <v>3.16537467700258</v>
      </c>
    </row>
    <row r="9">
      <c r="B9" s="19" t="inlineStr">
        <is>
          <t>service_quality</t>
        </is>
      </c>
      <c r="C9" s="20" t="inlineStr">
        <is>
          <t>Service quality &amp; conduct</t>
        </is>
      </c>
      <c r="D9" s="22">
        <f>COUNTIF(r_primary,B9)/n_comp</f>
        <v>0.190972222222222</v>
      </c>
      <c r="E9" s="22">
        <f>COUNTIF(u_primary,B9)/u_comp</f>
        <v>0.182724252491694</v>
      </c>
      <c r="F9" s="50">
        <f>(D9-E9)*100</f>
        <v>0.824796973052785</v>
      </c>
    </row>
    <row r="10">
      <c r="B10" s="19" t="inlineStr">
        <is>
          <t>product_fit</t>
        </is>
      </c>
      <c r="C10" s="27" t="inlineStr">
        <is>
          <t>Products used</t>
        </is>
      </c>
      <c r="D10" s="22">
        <f>COUNTIF(r_primary,B10)/n_comp</f>
        <v>0.104166666666667</v>
      </c>
      <c r="E10" s="22">
        <f>COUNTIF(u_primary,B10)/u_comp</f>
        <v>0.026578073089701</v>
      </c>
      <c r="F10" s="50">
        <f>(D10-E10)*100</f>
        <v>7.75885935769657</v>
      </c>
    </row>
    <row r="11">
      <c r="B11" s="19" t="inlineStr">
        <is>
          <t>app</t>
        </is>
      </c>
      <c r="C11" s="27" t="inlineStr">
        <is>
          <t>App &amp; booking bugs</t>
        </is>
      </c>
      <c r="D11" s="22">
        <f>COUNTIF(r_primary,B11)/n_comp</f>
        <v>0.100694444444444</v>
      </c>
      <c r="E11" s="22">
        <f>COUNTIF(u_primary,B11)/u_comp</f>
        <v>0.053156146179402</v>
      </c>
      <c r="F11" s="50">
        <f>(D11-E11)*100</f>
        <v>4.75382982650425</v>
      </c>
    </row>
    <row r="12">
      <c r="B12" s="19" t="inlineStr">
        <is>
          <t>payment_refund</t>
        </is>
      </c>
      <c r="C12" s="27" t="inlineStr">
        <is>
          <t>Payments &amp; refunds</t>
        </is>
      </c>
      <c r="D12" s="22">
        <f>COUNTIF(r_primary,B12)/n_comp</f>
        <v>0.0416666666666667</v>
      </c>
      <c r="E12" s="22">
        <f>COUNTIF(u_primary,B12)/u_comp</f>
        <v>0.0897009966777409</v>
      </c>
      <c r="F12" s="50">
        <f>(D12-E12)*100</f>
        <v>-4.80343300110742</v>
      </c>
    </row>
    <row r="13">
      <c r="B13" s="19" t="inlineStr">
        <is>
          <t>support</t>
        </is>
      </c>
      <c r="C13" s="27" t="inlineStr">
        <is>
          <t>Support itself</t>
        </is>
      </c>
      <c r="D13" s="22">
        <f>COUNTIF(r_primary,B13)/n_comp</f>
        <v>0.0173611111111111</v>
      </c>
      <c r="E13" s="22">
        <f>COUNTIF(u_primary,B13)/u_comp</f>
        <v>0.0764119601328904</v>
      </c>
      <c r="F13" s="50">
        <f>(D13-E13)*100</f>
        <v>-5.90508490217793</v>
      </c>
    </row>
    <row r="14">
      <c r="B14" s="19" t="inlineStr">
        <is>
          <t>delay</t>
        </is>
      </c>
      <c r="C14" s="27" t="inlineStr">
        <is>
          <t>Late arrivals</t>
        </is>
      </c>
      <c r="D14" s="22">
        <f>COUNTIF(r_primary,B14)/n_comp</f>
        <v>0.0138888888888889</v>
      </c>
      <c r="E14" s="22">
        <f>COUNTIF(u_primary,B14)/u_comp</f>
        <v>0.0166112956810631</v>
      </c>
      <c r="F14" s="50">
        <f>(D14-E14)*100</f>
        <v>-0.272240679217424</v>
      </c>
    </row>
    <row r="15">
      <c r="B15" s="19" t="inlineStr">
        <is>
          <t>other</t>
        </is>
      </c>
      <c r="C15" s="27" t="inlineStr">
        <is>
          <t>Other or vague</t>
        </is>
      </c>
      <c r="D15" s="22">
        <f>COUNTIF(r_primary,B15)/n_comp</f>
        <v>0.131944444444444</v>
      </c>
      <c r="E15" s="22">
        <f>COUNTIF(u_primary,B15)/u_comp</f>
        <v>0.146179401993356</v>
      </c>
      <c r="F15" s="50">
        <f>(D15-E15)*100</f>
        <v>-1.4234957548911</v>
      </c>
    </row>
    <row r="17">
      <c r="B17" s="9" t="inlineStr">
        <is>
          <t>Contacted support (share of complaints)</t>
        </is>
      </c>
      <c r="D17" s="16">
        <f>COUNTIF(r_contact,"yes")/n_comp</f>
        <v>0.25</v>
      </c>
      <c r="E17" s="16">
        <f>COUNTIF(u_contact,"yes")/u_comp</f>
        <v>0.3421926910299</v>
      </c>
    </row>
    <row r="18">
      <c r="B18" s="9" t="inlineStr">
        <is>
          <t>High severity</t>
        </is>
      </c>
      <c r="D18" s="16">
        <f>COUNTIF(r_sev,"high")/n_comp</f>
        <v>0.163194444444444</v>
      </c>
      <c r="E18" s="16">
        <f>COUNTIF(u_sev,"high")/u_comp</f>
        <v>0.219269102990033</v>
      </c>
    </row>
    <row r="19">
      <c r="B19" s="9" t="inlineStr">
        <is>
          <t>Say they'll leave</t>
        </is>
      </c>
      <c r="D19" s="16">
        <f>COUNTIF(r_churn,"yes")/n_comp</f>
        <v>0.128472222222222</v>
      </c>
      <c r="E19" s="16">
        <f>COUNTIF(u_churn,"yes")/u_comp</f>
        <v>0.119601328903654</v>
      </c>
    </row>
  </sheetData>
  <conditionalFormatting sqref="F7:F15">
    <cfRule type="colorScale" priority="1">
      <colorScale>
        <cfvo type="num" val="-10"/>
        <cfvo type="num" val="0"/>
        <cfvo type="num" val="10"/>
        <color rgb="006DA7EC"/>
        <color rgb="00FFFFFF"/>
        <color rgb="00E66A63"/>
      </colorScale>
    </cfRule>
  </conditionalFormatting>
  <pageMargins left="0.75" right="0.75" top="1" bottom="1" header="0.5" footer="0.5"/>
  <pageSetup orientation="landscape" fitToHeight="0" fitToWidth="1"/>
  <drawing xmlns:r="http://schemas.openxmlformats.org/officeDocument/2006/relationships" r:id="rId1"/>
</worksheet>
</file>

<file path=xl/worksheets/sheet9.xml><?xml version="1.0" encoding="utf-8"?>
<worksheet xmlns="http://schemas.openxmlformats.org/spreadsheetml/2006/main">
  <sheetPr>
    <tabColor rgb="00EB6834"/>
    <outlinePr summaryBelow="1" summaryRight="1"/>
    <pageSetUpPr fitToPage="1"/>
  </sheetPr>
  <dimension ref="B1:H25"/>
  <sheetViews>
    <sheetView showGridLines="0" workbookViewId="0">
      <selection activeCell="A1" sqref="A1"/>
    </sheetView>
  </sheetViews>
  <sheetFormatPr baseColWidth="8" defaultRowHeight="15"/>
  <cols>
    <col width="2" customWidth="1" min="1" max="1"/>
    <col width="28" customWidth="1" min="2" max="2"/>
    <col width="11" customWidth="1" min="3" max="3"/>
    <col width="11" customWidth="1" min="4" max="4"/>
    <col width="11" customWidth="1" min="5" max="5"/>
    <col width="11" customWidth="1" min="6" max="6"/>
    <col width="11" customWidth="1" min="7" max="7"/>
    <col width="11" customWidth="1" min="8" max="8"/>
  </cols>
  <sheetData>
    <row r="1" ht="26" customHeight="1">
      <c r="B1" s="13" t="inlineStr">
        <is>
          <t>Trends</t>
        </is>
      </c>
    </row>
    <row r="2">
      <c r="B2" s="12" t="inlineStr">
        <is>
          <t>Complaint reviews by month and driver, and app complaints by app version.</t>
        </is>
      </c>
    </row>
    <row r="4" ht="30" customHeight="1">
      <c r="B4" s="17" t="inlineStr">
        <is>
          <t>Driver</t>
        </is>
      </c>
      <c r="C4" s="18" t="inlineStr">
        <is>
          <t>2026-06</t>
        </is>
      </c>
      <c r="D4" s="18" t="inlineStr">
        <is>
          <t>2026-07</t>
        </is>
      </c>
      <c r="E4" s="18" t="inlineStr">
        <is>
          <t>2026-08</t>
        </is>
      </c>
      <c r="F4" s="18" t="inlineStr">
        <is>
          <t>2026-09</t>
        </is>
      </c>
      <c r="G4" s="18" t="inlineStr">
        <is>
          <t>2026-10</t>
        </is>
      </c>
      <c r="H4" s="18" t="inlineStr">
        <is>
          <t>Total</t>
        </is>
      </c>
    </row>
    <row r="5">
      <c r="B5" s="20" t="inlineStr">
        <is>
          <t>No-shows &amp; cancellations</t>
        </is>
      </c>
      <c r="C5" s="51">
        <f>COUNTIFS(r_primary,"partner_cancellation",r_month,"2026-06")</f>
        <v>4</v>
      </c>
      <c r="D5" s="51">
        <f>COUNTIFS(r_primary,"partner_cancellation",r_month,"2026-07")</f>
        <v>11</v>
      </c>
      <c r="E5" s="51">
        <f>COUNTIFS(r_primary,"partner_cancellation",r_month,"2026-08")</f>
        <v>22</v>
      </c>
      <c r="F5" s="51">
        <f>COUNTIFS(r_primary,"partner_cancellation",r_month,"2026-09")</f>
        <v>11</v>
      </c>
      <c r="G5" s="51">
        <f>COUNTIFS(r_primary,"partner_cancellation",r_month,"2026-10")</f>
        <v>11</v>
      </c>
      <c r="H5" s="52">
        <f>SUM(C5:G5)</f>
        <v>59</v>
      </c>
    </row>
    <row r="6">
      <c r="B6" s="20" t="inlineStr">
        <is>
          <t>Price &amp; offer clarity</t>
        </is>
      </c>
      <c r="C6" s="51">
        <f>COUNTIFS(r_primary,"price_clarity",r_month,"2026-06")</f>
        <v>2</v>
      </c>
      <c r="D6" s="51">
        <f>COUNTIFS(r_primary,"price_clarity",r_month,"2026-07")</f>
        <v>6</v>
      </c>
      <c r="E6" s="51">
        <f>COUNTIFS(r_primary,"price_clarity",r_month,"2026-08")</f>
        <v>3</v>
      </c>
      <c r="F6" s="51">
        <f>COUNTIFS(r_primary,"price_clarity",r_month,"2026-09")</f>
        <v>29</v>
      </c>
      <c r="G6" s="51">
        <f>COUNTIFS(r_primary,"price_clarity",r_month,"2026-10")</f>
        <v>16</v>
      </c>
      <c r="H6" s="52">
        <f>SUM(C6:G6)</f>
        <v>56</v>
      </c>
    </row>
    <row r="7">
      <c r="B7" s="20" t="inlineStr">
        <is>
          <t>Service quality &amp; conduct</t>
        </is>
      </c>
      <c r="C7" s="51">
        <f>COUNTIFS(r_primary,"service_quality",r_month,"2026-06")</f>
        <v>4</v>
      </c>
      <c r="D7" s="51">
        <f>COUNTIFS(r_primary,"service_quality",r_month,"2026-07")</f>
        <v>9</v>
      </c>
      <c r="E7" s="51">
        <f>COUNTIFS(r_primary,"service_quality",r_month,"2026-08")</f>
        <v>19</v>
      </c>
      <c r="F7" s="51">
        <f>COUNTIFS(r_primary,"service_quality",r_month,"2026-09")</f>
        <v>11</v>
      </c>
      <c r="G7" s="51">
        <f>COUNTIFS(r_primary,"service_quality",r_month,"2026-10")</f>
        <v>12</v>
      </c>
      <c r="H7" s="52">
        <f>SUM(C7:G7)</f>
        <v>55</v>
      </c>
    </row>
    <row r="8">
      <c r="B8" s="27" t="inlineStr">
        <is>
          <t>Products used</t>
        </is>
      </c>
      <c r="C8" s="51">
        <f>COUNTIFS(r_primary,"product_fit",r_month,"2026-06")</f>
        <v>3</v>
      </c>
      <c r="D8" s="51">
        <f>COUNTIFS(r_primary,"product_fit",r_month,"2026-07")</f>
        <v>11</v>
      </c>
      <c r="E8" s="51">
        <f>COUNTIFS(r_primary,"product_fit",r_month,"2026-08")</f>
        <v>3</v>
      </c>
      <c r="F8" s="51">
        <f>COUNTIFS(r_primary,"product_fit",r_month,"2026-09")</f>
        <v>7</v>
      </c>
      <c r="G8" s="51">
        <f>COUNTIFS(r_primary,"product_fit",r_month,"2026-10")</f>
        <v>6</v>
      </c>
      <c r="H8" s="52">
        <f>SUM(C8:G8)</f>
        <v>30</v>
      </c>
    </row>
    <row r="9">
      <c r="B9" s="27" t="inlineStr">
        <is>
          <t>App &amp; booking bugs</t>
        </is>
      </c>
      <c r="C9" s="51">
        <f>COUNTIFS(r_primary,"app",r_month,"2026-06")</f>
        <v>0</v>
      </c>
      <c r="D9" s="51">
        <f>COUNTIFS(r_primary,"app",r_month,"2026-07")</f>
        <v>5</v>
      </c>
      <c r="E9" s="51">
        <f>COUNTIFS(r_primary,"app",r_month,"2026-08")</f>
        <v>2</v>
      </c>
      <c r="F9" s="51">
        <f>COUNTIFS(r_primary,"app",r_month,"2026-09")</f>
        <v>7</v>
      </c>
      <c r="G9" s="51">
        <f>COUNTIFS(r_primary,"app",r_month,"2026-10")</f>
        <v>15</v>
      </c>
      <c r="H9" s="52">
        <f>SUM(C9:G9)</f>
        <v>29</v>
      </c>
    </row>
    <row r="10">
      <c r="B10" s="27" t="inlineStr">
        <is>
          <t>Payments &amp; refunds</t>
        </is>
      </c>
      <c r="C10" s="51">
        <f>COUNTIFS(r_primary,"payment_refund",r_month,"2026-06")</f>
        <v>0</v>
      </c>
      <c r="D10" s="51">
        <f>COUNTIFS(r_primary,"payment_refund",r_month,"2026-07")</f>
        <v>1</v>
      </c>
      <c r="E10" s="51">
        <f>COUNTIFS(r_primary,"payment_refund",r_month,"2026-08")</f>
        <v>4</v>
      </c>
      <c r="F10" s="51">
        <f>COUNTIFS(r_primary,"payment_refund",r_month,"2026-09")</f>
        <v>5</v>
      </c>
      <c r="G10" s="51">
        <f>COUNTIFS(r_primary,"payment_refund",r_month,"2026-10")</f>
        <v>2</v>
      </c>
      <c r="H10" s="52">
        <f>SUM(C10:G10)</f>
        <v>12</v>
      </c>
    </row>
    <row r="11">
      <c r="B11" s="27" t="inlineStr">
        <is>
          <t>Support itself</t>
        </is>
      </c>
      <c r="C11" s="51">
        <f>COUNTIFS(r_primary,"support",r_month,"2026-06")</f>
        <v>0</v>
      </c>
      <c r="D11" s="51">
        <f>COUNTIFS(r_primary,"support",r_month,"2026-07")</f>
        <v>2</v>
      </c>
      <c r="E11" s="51">
        <f>COUNTIFS(r_primary,"support",r_month,"2026-08")</f>
        <v>0</v>
      </c>
      <c r="F11" s="51">
        <f>COUNTIFS(r_primary,"support",r_month,"2026-09")</f>
        <v>3</v>
      </c>
      <c r="G11" s="51">
        <f>COUNTIFS(r_primary,"support",r_month,"2026-10")</f>
        <v>0</v>
      </c>
      <c r="H11" s="52">
        <f>SUM(C11:G11)</f>
        <v>5</v>
      </c>
    </row>
    <row r="12">
      <c r="B12" s="27" t="inlineStr">
        <is>
          <t>Late arrivals</t>
        </is>
      </c>
      <c r="C12" s="51">
        <f>COUNTIFS(r_primary,"delay",r_month,"2026-06")</f>
        <v>0</v>
      </c>
      <c r="D12" s="51">
        <f>COUNTIFS(r_primary,"delay",r_month,"2026-07")</f>
        <v>0</v>
      </c>
      <c r="E12" s="51">
        <f>COUNTIFS(r_primary,"delay",r_month,"2026-08")</f>
        <v>2</v>
      </c>
      <c r="F12" s="51">
        <f>COUNTIFS(r_primary,"delay",r_month,"2026-09")</f>
        <v>2</v>
      </c>
      <c r="G12" s="51">
        <f>COUNTIFS(r_primary,"delay",r_month,"2026-10")</f>
        <v>0</v>
      </c>
      <c r="H12" s="52">
        <f>SUM(C12:G12)</f>
        <v>4</v>
      </c>
    </row>
    <row r="13">
      <c r="B13" s="27" t="inlineStr">
        <is>
          <t>Other or vague</t>
        </is>
      </c>
      <c r="C13" s="51">
        <f>COUNTIFS(r_primary,"other",r_month,"2026-06")</f>
        <v>5</v>
      </c>
      <c r="D13" s="51">
        <f>COUNTIFS(r_primary,"other",r_month,"2026-07")</f>
        <v>17</v>
      </c>
      <c r="E13" s="51">
        <f>COUNTIFS(r_primary,"other",r_month,"2026-08")</f>
        <v>5</v>
      </c>
      <c r="F13" s="51">
        <f>COUNTIFS(r_primary,"other",r_month,"2026-09")</f>
        <v>7</v>
      </c>
      <c r="G13" s="51">
        <f>COUNTIFS(r_primary,"other",r_month,"2026-10")</f>
        <v>4</v>
      </c>
      <c r="H13" s="52">
        <f>SUM(C13:G13)</f>
        <v>38</v>
      </c>
    </row>
    <row r="14">
      <c r="B14" s="14" t="inlineStr">
        <is>
          <t>All complaints</t>
        </is>
      </c>
      <c r="C14" s="52">
        <f>SUM(C5:C13)</f>
        <v>18</v>
      </c>
      <c r="D14" s="52">
        <f>SUM(D5:D13)</f>
        <v>62</v>
      </c>
      <c r="E14" s="52">
        <f>SUM(E5:E13)</f>
        <v>60</v>
      </c>
      <c r="F14" s="52">
        <f>SUM(F5:F13)</f>
        <v>82</v>
      </c>
      <c r="G14" s="52">
        <f>SUM(G5:G13)</f>
        <v>66</v>
      </c>
      <c r="H14" s="52">
        <f>SUM(H5:H13)</f>
        <v>288</v>
      </c>
    </row>
    <row r="15">
      <c r="B15" s="11" t="inlineStr">
        <is>
          <t>All reviews</t>
        </is>
      </c>
      <c r="C15" s="53">
        <f>COUNTIF(r_month,"2026-06")</f>
        <v>40</v>
      </c>
      <c r="D15" s="53">
        <f>COUNTIF(r_month,"2026-07")</f>
        <v>117</v>
      </c>
      <c r="E15" s="53">
        <f>COUNTIF(r_month,"2026-08")</f>
        <v>113</v>
      </c>
      <c r="F15" s="53">
        <f>COUNTIF(r_month,"2026-09")</f>
        <v>126</v>
      </c>
      <c r="G15" s="53">
        <f>COUNTIF(r_month,"2026-10")</f>
        <v>104</v>
      </c>
    </row>
    <row r="16">
      <c r="B16" s="12" t="inlineStr">
        <is>
          <t>2026-06 starts on 2026-06-18; 2026-10 runs to 2026-10-21. Both are part months.</t>
        </is>
      </c>
    </row>
    <row r="18">
      <c r="B18" s="8" t="inlineStr">
        <is>
          <t>App complaints by app version</t>
        </is>
      </c>
    </row>
    <row r="19" ht="30" customHeight="1">
      <c r="B19" s="17" t="inlineStr">
        <is>
          <t>Version</t>
        </is>
      </c>
      <c r="C19" s="18" t="inlineStr">
        <is>
          <t>Reviews</t>
        </is>
      </c>
      <c r="D19" s="18" t="inlineStr">
        <is>
          <t>App complaints</t>
        </is>
      </c>
      <c r="E19" s="18" t="inlineStr">
        <is>
          <t>Share</t>
        </is>
      </c>
    </row>
    <row r="20">
      <c r="B20" s="20" t="inlineStr">
        <is>
          <t>18.9.0</t>
        </is>
      </c>
      <c r="C20" s="24">
        <f>COUNTIF(r_ver,B20)</f>
        <v>87</v>
      </c>
      <c r="D20" s="24">
        <f>COUNTIFS(r_ver,B20,r_primary,"app")</f>
        <v>10</v>
      </c>
      <c r="E20" s="25">
        <f>IFERROR(D20/C20,0)</f>
        <v>0.114942528735632</v>
      </c>
    </row>
    <row r="21">
      <c r="B21" s="20" t="inlineStr">
        <is>
          <t>18.8.0</t>
        </is>
      </c>
      <c r="C21" s="24">
        <f>COUNTIF(r_ver,B21)</f>
        <v>100</v>
      </c>
      <c r="D21" s="24">
        <f>COUNTIFS(r_ver,B21,r_primary,"app")</f>
        <v>9</v>
      </c>
      <c r="E21" s="25">
        <f>IFERROR(D21/C21,0)</f>
        <v>0.09</v>
      </c>
    </row>
    <row r="22">
      <c r="B22" s="20" t="inlineStr">
        <is>
          <t>18.7.0</t>
        </is>
      </c>
      <c r="C22" s="24">
        <f>COUNTIF(r_ver,B22)</f>
        <v>70</v>
      </c>
      <c r="D22" s="24">
        <f>COUNTIFS(r_ver,B22,r_primary,"app")</f>
        <v>3</v>
      </c>
      <c r="E22" s="25">
        <f>IFERROR(D22/C22,0)</f>
        <v>0.0428571428571429</v>
      </c>
    </row>
    <row r="23">
      <c r="B23" s="20" t="inlineStr">
        <is>
          <t>18.6.0</t>
        </is>
      </c>
      <c r="C23" s="24">
        <f>COUNTIF(r_ver,B23)</f>
        <v>17</v>
      </c>
      <c r="D23" s="24">
        <f>COUNTIFS(r_ver,B23,r_primary,"app")</f>
        <v>0</v>
      </c>
      <c r="E23" s="25">
        <f>IFERROR(D23/C23,0)</f>
        <v>0</v>
      </c>
    </row>
    <row r="24">
      <c r="B24" s="20" t="inlineStr">
        <is>
          <t>18.5.0</t>
        </is>
      </c>
      <c r="C24" s="24">
        <f>COUNTIF(r_ver,B24)</f>
        <v>133</v>
      </c>
      <c r="D24" s="24">
        <f>COUNTIFS(r_ver,B24,r_primary,"app")</f>
        <v>5</v>
      </c>
      <c r="E24" s="25">
        <f>IFERROR(D24/C24,0)</f>
        <v>0.037593984962406</v>
      </c>
    </row>
    <row r="25">
      <c r="B25" s="20" t="inlineStr">
        <is>
          <t>18.2.0</t>
        </is>
      </c>
      <c r="C25" s="24">
        <f>COUNTIF(r_ver,B25)</f>
        <v>93</v>
      </c>
      <c r="D25" s="24">
        <f>COUNTIFS(r_ver,B25,r_primary,"app")</f>
        <v>2</v>
      </c>
      <c r="E25" s="25">
        <f>IFERROR(D25/C25,0)</f>
        <v>0.021505376344086</v>
      </c>
    </row>
  </sheetData>
  <conditionalFormatting sqref="C5:G13">
    <cfRule type="colorScale" priority="1">
      <colorScale>
        <cfvo type="num" val="0"/>
        <cfvo type="max"/>
        <color rgb="00FFFFFF"/>
        <color rgb="006DA7EC"/>
      </colorScale>
    </cfRule>
  </conditionalFormatting>
  <pageMargins left="0.75" right="0.75" top="1" bottom="1" header="0.5" footer="0.5"/>
  <pageSetup orientation="landscape" fitToHeight="0" fitToWidth="1"/>
</worksheet>
</file>

<file path=xl/worksheets/sheet10.xml><?xml version="1.0" encoding="utf-8"?>
<worksheet xmlns="http://schemas.openxmlformats.org/spreadsheetml/2006/main">
  <sheetPr>
    <tabColor rgb="00EB6834"/>
    <outlinePr summaryBelow="1" summaryRight="1"/>
    <pageSetUpPr fitToPage="1"/>
  </sheetPr>
  <dimension ref="B1:E22"/>
  <sheetViews>
    <sheetView showGridLines="0" workbookViewId="0">
      <selection activeCell="A1" sqref="A1"/>
    </sheetView>
  </sheetViews>
  <sheetFormatPr baseColWidth="8" defaultRowHeight="15"/>
  <cols>
    <col width="2" customWidth="1" min="1" max="1"/>
    <col width="30" customWidth="1" min="2" max="2"/>
    <col width="14" customWidth="1" min="3" max="3"/>
    <col width="14" customWidth="1" min="4" max="4"/>
    <col width="16" customWidth="1" min="5" max="5"/>
  </cols>
  <sheetData>
    <row r="1" ht="26" customHeight="1">
      <c r="B1" s="13" t="inlineStr">
        <is>
          <t>Tagging reliability</t>
        </is>
      </c>
    </row>
    <row r="2">
      <c r="B2" s="12" t="inlineStr">
        <is>
          <t>Every review was tagged in two independent passes with the same codebook. Agreement and Cohen's kappa are computed live from the Reviews tab.</t>
        </is>
      </c>
    </row>
    <row r="4">
      <c r="B4" s="14" t="inlineStr">
        <is>
          <t>Reviews double-tagged</t>
        </is>
      </c>
      <c r="E4" s="15">
        <f>SUMPRODUCT(--(r_tagA&lt;&gt;""),--(r_tagB&lt;&gt;""))</f>
        <v>500</v>
      </c>
    </row>
    <row r="5">
      <c r="B5" s="14" t="inlineStr">
        <is>
          <t>Same primary driver</t>
        </is>
      </c>
      <c r="E5" s="15">
        <f>SUMPRODUCT(--(r_tagA=r_tagB),--(r_tagA&lt;&gt;""))</f>
        <v>492</v>
      </c>
    </row>
    <row r="6">
      <c r="B6" s="14" t="inlineStr">
        <is>
          <t>Observed agreement (po)</t>
        </is>
      </c>
      <c r="E6" s="54">
        <f>E5/E4</f>
        <v>0.984</v>
      </c>
    </row>
    <row r="8" ht="30" customHeight="1">
      <c r="B8" s="17" t="inlineStr">
        <is>
          <t>Driver</t>
        </is>
      </c>
      <c r="C8" s="18" t="inlineStr">
        <is>
          <t>Tagger A count</t>
        </is>
      </c>
      <c r="D8" s="18" t="inlineStr">
        <is>
          <t>Tagger B count</t>
        </is>
      </c>
      <c r="E8" s="18" t="inlineStr">
        <is>
          <t>Chance agreement</t>
        </is>
      </c>
    </row>
    <row r="9">
      <c r="B9" s="27" t="inlineStr">
        <is>
          <t>partner_cancellation</t>
        </is>
      </c>
      <c r="C9" s="24">
        <f>COUNTIF(r_tagA,B9)</f>
        <v>59</v>
      </c>
      <c r="D9" s="24">
        <f>COUNTIF(r_tagB,B9)</f>
        <v>59</v>
      </c>
      <c r="E9" s="55">
        <f>(C9/$E$4)*(D9/$E$4)</f>
        <v>0.013924</v>
      </c>
    </row>
    <row r="10">
      <c r="B10" s="27" t="inlineStr">
        <is>
          <t>price_clarity</t>
        </is>
      </c>
      <c r="C10" s="24">
        <f>COUNTIF(r_tagA,B10)</f>
        <v>55</v>
      </c>
      <c r="D10" s="24">
        <f>COUNTIF(r_tagB,B10)</f>
        <v>56</v>
      </c>
      <c r="E10" s="55">
        <f>(C10/$E$4)*(D10/$E$4)</f>
        <v>0.01232</v>
      </c>
    </row>
    <row r="11">
      <c r="B11" s="27" t="inlineStr">
        <is>
          <t>service_quality</t>
        </is>
      </c>
      <c r="C11" s="24">
        <f>COUNTIF(r_tagA,B11)</f>
        <v>55</v>
      </c>
      <c r="D11" s="24">
        <f>COUNTIF(r_tagB,B11)</f>
        <v>56</v>
      </c>
      <c r="E11" s="55">
        <f>(C11/$E$4)*(D11/$E$4)</f>
        <v>0.01232</v>
      </c>
    </row>
    <row r="12">
      <c r="B12" s="27" t="inlineStr">
        <is>
          <t>product_fit</t>
        </is>
      </c>
      <c r="C12" s="24">
        <f>COUNTIF(r_tagA,B12)</f>
        <v>30</v>
      </c>
      <c r="D12" s="24">
        <f>COUNTIF(r_tagB,B12)</f>
        <v>30</v>
      </c>
      <c r="E12" s="55">
        <f>(C12/$E$4)*(D12/$E$4)</f>
        <v>0.0036</v>
      </c>
    </row>
    <row r="13">
      <c r="B13" s="27" t="inlineStr">
        <is>
          <t>app</t>
        </is>
      </c>
      <c r="C13" s="24">
        <f>COUNTIF(r_tagA,B13)</f>
        <v>30</v>
      </c>
      <c r="D13" s="24">
        <f>COUNTIF(r_tagB,B13)</f>
        <v>30</v>
      </c>
      <c r="E13" s="55">
        <f>(C13/$E$4)*(D13/$E$4)</f>
        <v>0.0036</v>
      </c>
    </row>
    <row r="14">
      <c r="B14" s="27" t="inlineStr">
        <is>
          <t>payment_refund</t>
        </is>
      </c>
      <c r="C14" s="24">
        <f>COUNTIF(r_tagA,B14)</f>
        <v>12</v>
      </c>
      <c r="D14" s="24">
        <f>COUNTIF(r_tagB,B14)</f>
        <v>10</v>
      </c>
      <c r="E14" s="55">
        <f>(C14/$E$4)*(D14/$E$4)</f>
        <v>0.00048</v>
      </c>
    </row>
    <row r="15">
      <c r="B15" s="27" t="inlineStr">
        <is>
          <t>support</t>
        </is>
      </c>
      <c r="C15" s="24">
        <f>COUNTIF(r_tagA,B15)</f>
        <v>5</v>
      </c>
      <c r="D15" s="24">
        <f>COUNTIF(r_tagB,B15)</f>
        <v>5</v>
      </c>
      <c r="E15" s="55">
        <f>(C15/$E$4)*(D15/$E$4)</f>
        <v>0.0001</v>
      </c>
    </row>
    <row r="16">
      <c r="B16" s="27" t="inlineStr">
        <is>
          <t>delay</t>
        </is>
      </c>
      <c r="C16" s="24">
        <f>COUNTIF(r_tagA,B16)</f>
        <v>4</v>
      </c>
      <c r="D16" s="24">
        <f>COUNTIF(r_tagB,B16)</f>
        <v>5</v>
      </c>
      <c r="E16" s="55">
        <f>(C16/$E$4)*(D16/$E$4)</f>
        <v>8e-05</v>
      </c>
    </row>
    <row r="17">
      <c r="B17" s="27" t="inlineStr">
        <is>
          <t>other</t>
        </is>
      </c>
      <c r="C17" s="24">
        <f>COUNTIF(r_tagA,B17)</f>
        <v>37</v>
      </c>
      <c r="D17" s="24">
        <f>COUNTIF(r_tagB,B17)</f>
        <v>37</v>
      </c>
      <c r="E17" s="55">
        <f>(C17/$E$4)*(D17/$E$4)</f>
        <v>0.005476</v>
      </c>
    </row>
    <row r="18">
      <c r="B18" s="27" t="inlineStr">
        <is>
          <t>praise</t>
        </is>
      </c>
      <c r="C18" s="24">
        <f>COUNTIF(r_tagA,B18)</f>
        <v>213</v>
      </c>
      <c r="D18" s="24">
        <f>COUNTIF(r_tagB,B18)</f>
        <v>212</v>
      </c>
      <c r="E18" s="55">
        <f>(C18/$E$4)*(D18/$E$4)</f>
        <v>0.180624</v>
      </c>
    </row>
    <row r="19">
      <c r="B19" s="14" t="inlineStr">
        <is>
          <t>Chance agreement (pe)</t>
        </is>
      </c>
      <c r="E19" s="56">
        <f>SUM(E9:E18)</f>
        <v>0.232524</v>
      </c>
    </row>
    <row r="20">
      <c r="B20" s="14" t="inlineStr">
        <is>
          <t>Cohen's kappa = (po − pe) ÷ (1 − pe)</t>
        </is>
      </c>
      <c r="E20" s="57">
        <f>(E6-E19)/(1-E19)</f>
        <v>0.979152442551949</v>
      </c>
    </row>
    <row r="21">
      <c r="B21" s="12" t="inlineStr">
        <is>
          <t>Reading: above 0.6 is substantial agreement, above 0.8 near-perfect. Disagreements were settled by a third read against the codebook (Tie-break note column on Reviews).</t>
        </is>
      </c>
    </row>
    <row r="22">
      <c r="B22" s="14" t="inlineStr">
        <is>
          <t>Disagreements settled</t>
        </is>
      </c>
      <c r="E22" s="15">
        <f>E4-E5</f>
        <v>8</v>
      </c>
    </row>
  </sheetData>
  <pageMargins left="0.75" right="0.75" top="1" bottom="1" header="0.5" footer="0.5"/>
  <pageSetup orientation="landscape" fitToHeight="0" fitToWidth="1"/>
</worksheet>
</file>

<file path=xl/worksheets/sheet11.xml><?xml version="1.0" encoding="utf-8"?>
<worksheet xmlns="http://schemas.openxmlformats.org/spreadsheetml/2006/main">
  <sheetPr>
    <tabColor rgb="00FAB219"/>
    <outlinePr summaryBelow="1" summaryRight="1"/>
    <pageSetUpPr fitToPage="1"/>
  </sheetPr>
  <dimension ref="B1:E19"/>
  <sheetViews>
    <sheetView showGridLines="0" workbookViewId="0">
      <selection activeCell="A1" sqref="A1"/>
    </sheetView>
  </sheetViews>
  <sheetFormatPr baseColWidth="8" defaultRowHeight="15"/>
  <cols>
    <col width="2" customWidth="1" min="1" max="1"/>
    <col width="22" customWidth="1" min="2" max="2"/>
    <col width="26" customWidth="1" min="3" max="3"/>
    <col width="60" customWidth="1" min="4" max="4"/>
    <col width="60" customWidth="1" min="5" max="5"/>
  </cols>
  <sheetData>
    <row r="1" ht="26" customHeight="1">
      <c r="B1" s="13" t="inlineStr">
        <is>
          <t>Codebook</t>
        </is>
      </c>
    </row>
    <row r="2">
      <c r="B2" s="12" t="inlineStr">
        <is>
          <t>One primary driver per review: the reason that customer would contact support.</t>
        </is>
      </c>
    </row>
    <row r="4" ht="30" customHeight="1">
      <c r="B4" s="17" t="inlineStr">
        <is>
          <t>Key</t>
        </is>
      </c>
      <c r="C4" s="18" t="inlineStr">
        <is>
          <t>Driver</t>
        </is>
      </c>
      <c r="D4" s="18" t="inlineStr">
        <is>
          <t>What counts</t>
        </is>
      </c>
      <c r="E4" s="18" t="inlineStr">
        <is>
          <t>Subtags</t>
        </is>
      </c>
    </row>
    <row r="5" ht="32" customHeight="1">
      <c r="B5" s="33" t="inlineStr">
        <is>
          <t>partner_cancellation</t>
        </is>
      </c>
      <c r="C5" s="48" t="inlineStr">
        <is>
          <t>No-shows &amp; cancellations</t>
        </is>
      </c>
      <c r="D5" s="33" t="inlineStr">
        <is>
          <t>The professional didn't turn up, cancelled late, or the company kept rescheduling or had no one to send</t>
        </is>
      </c>
      <c r="E5" s="33" t="inlineStr">
        <is>
          <t>Cancelled at the last minute, No professional available, Didn't show up, Rescheduled again and again</t>
        </is>
      </c>
    </row>
    <row r="6" ht="32" customHeight="1">
      <c r="B6" s="33" t="inlineStr">
        <is>
          <t>service_quality</t>
        </is>
      </c>
      <c r="C6" s="48" t="inlineStr">
        <is>
          <t>Service quality &amp; conduct</t>
        </is>
      </c>
      <c r="D6" s="33" t="inlineStr">
        <is>
          <t>Poor skill, rushed or incomplete work, hygiene, burns or rashes from technique, rude behaviour, safety</t>
        </is>
      </c>
      <c r="E6" s="33" t="inlineStr">
        <is>
          <t>Hygiene, Poor skill, Rude behaviour, Rushed or incomplete, Safety, privacy or theft, Burn, cut or rash</t>
        </is>
      </c>
    </row>
    <row r="7" ht="32" customHeight="1">
      <c r="B7" s="33" t="inlineStr">
        <is>
          <t>price_clarity</t>
        </is>
      </c>
      <c r="C7" s="48" t="inlineStr">
        <is>
          <t>Price &amp; offer clarity</t>
        </is>
      </c>
      <c r="D7" s="33" t="inlineStr">
        <is>
          <t>Price or offer not as shown: extra charges at checkout, coupons or free-service offers that don't work</t>
        </is>
      </c>
      <c r="E7" s="33" t="inlineStr">
        <is>
          <t>Extra charges at checkout, Membership or package confusion, Offer or coupon not honoured, Price different from shown</t>
        </is>
      </c>
    </row>
    <row r="8" ht="32" customHeight="1">
      <c r="B8" s="33" t="inlineStr">
        <is>
          <t>payment_refund</t>
        </is>
      </c>
      <c r="C8" s="48" t="inlineStr">
        <is>
          <t>Payments &amp; refunds</t>
        </is>
      </c>
      <c r="D8" s="33" t="inlineStr">
        <is>
          <t>Money taken or stuck: refund slow or refused, charged but not served, wallet or coupon money lost</t>
        </is>
      </c>
      <c r="E8" s="33" t="inlineStr">
        <is>
          <t>Charged, not served, Refund delayed, Refund refused, Wallet or coupon money lost</t>
        </is>
      </c>
    </row>
    <row r="9" ht="32" customHeight="1">
      <c r="B9" s="33" t="inlineStr">
        <is>
          <t>support</t>
        </is>
      </c>
      <c r="C9" s="48" t="inlineStr">
        <is>
          <t>Support itself</t>
        </is>
      </c>
      <c r="D9" s="33" t="inlineStr">
        <is>
          <t>Complaint is only about support: unreachable, scripted, slow, no escalation</t>
        </is>
      </c>
      <c r="E9" s="33" t="inlineStr">
        <is>
          <t>Slow resolution, Scripted, unhelpful replies, Can't reach support</t>
        </is>
      </c>
    </row>
    <row r="10" ht="32" customHeight="1">
      <c r="B10" s="33" t="inlineStr">
        <is>
          <t>app</t>
        </is>
      </c>
      <c r="C10" s="48" t="inlineStr">
        <is>
          <t>App &amp; booking bugs</t>
        </is>
      </c>
      <c r="D10" s="33" t="inlineStr">
        <is>
          <t>App crashes or won't open, login, booking or checkout bugs, no slots, spam notifications</t>
        </is>
      </c>
      <c r="E10" s="33" t="inlineStr">
        <is>
          <t>Booking or checkout bug, Crashes or won't open, Login or OTP, Other app issue, No slots</t>
        </is>
      </c>
    </row>
    <row r="11" ht="32" customHeight="1">
      <c r="B11" s="33" t="inlineStr">
        <is>
          <t>delay</t>
        </is>
      </c>
      <c r="C11" s="48" t="inlineStr">
        <is>
          <t>Late arrivals</t>
        </is>
      </c>
      <c r="D11" s="33" t="inlineStr">
        <is>
          <t>Professional arrived late, assignment took long, or the service overran</t>
        </is>
      </c>
      <c r="E11" s="33" t="inlineStr">
        <is>
          <t>Arrived late</t>
        </is>
      </c>
    </row>
    <row r="12" ht="32" customHeight="1">
      <c r="B12" s="33" t="inlineStr">
        <is>
          <t>product_fit</t>
        </is>
      </c>
      <c r="C12" s="48" t="inlineStr">
        <is>
          <t>Products used</t>
        </is>
      </c>
      <c r="D12" s="33" t="inlineStr">
        <is>
          <t>Product quality, missing or wrong products, pushed upsells, reactions blamed on the product</t>
        </is>
      </c>
      <c r="E12" s="33" t="inlineStr">
        <is>
          <t>Missing or wrong products, Product quality, Reaction to a product, Pushed product upsell</t>
        </is>
      </c>
    </row>
    <row r="13" ht="32" customHeight="1">
      <c r="B13" s="33" t="inlineStr">
        <is>
          <t>other</t>
        </is>
      </c>
      <c r="C13" s="48" t="inlineStr">
        <is>
          <t>Other or vague</t>
        </is>
      </c>
      <c r="D13" s="33" t="inlineStr">
        <is>
          <t>A complaint with no specific problem, e.g. 'worst app', 'scam'</t>
        </is>
      </c>
      <c r="E13" s="33" t="inlineStr">
        <is>
          <t>Other issue, Too vague to classify</t>
        </is>
      </c>
    </row>
    <row r="14" ht="32" customHeight="1">
      <c r="B14" s="33" t="inlineStr">
        <is>
          <t>praise</t>
        </is>
      </c>
      <c r="C14" s="48" t="inlineStr">
        <is>
          <t>Praise</t>
        </is>
      </c>
      <c r="D14" s="33" t="inlineStr">
        <is>
          <t>Positive review with no complaint</t>
        </is>
      </c>
      <c r="E14" s="33" t="inlineStr">
        <is>
          <t>Praised the professional, Praised the service, Praised the value</t>
        </is>
      </c>
    </row>
    <row r="16" ht="28" customHeight="1">
      <c r="B16" s="32" t="inlineStr">
        <is>
          <t>Rule 1: support is the driver only when support itself is the whole complaint; otherwise the underlying problem is the driver and support is secondary.</t>
        </is>
      </c>
    </row>
    <row r="17" ht="28" customHeight="1">
      <c r="B17" s="32" t="inlineStr">
        <is>
          <t>Rule 2: a burn or rash blamed on technique is Service quality; blamed on the product is Products used.</t>
        </is>
      </c>
    </row>
    <row r="18" ht="28" customHeight="1">
      <c r="B18" s="32" t="inlineStr">
        <is>
          <t>Rule 3: vanishing offers, unusable coupons and fake promo notifications are Price &amp; offer clarity.</t>
        </is>
      </c>
    </row>
    <row r="19" ht="28" customHeight="1">
      <c r="B19" s="32" t="inlineStr">
        <is>
          <t>Rule 4: a mixed review counts its complaint. A vague 'worst app' with no detail is Other.</t>
        </is>
      </c>
    </row>
  </sheetData>
  <mergeCells count="4">
    <mergeCell ref="B17:E17"/>
    <mergeCell ref="B18:E18"/>
    <mergeCell ref="B19:E19"/>
    <mergeCell ref="B16:E16"/>
  </mergeCells>
  <pageMargins left="0.75" right="0.75" top="1" bottom="1" header="0.5" footer="0.5"/>
  <pageSetup orientation="landscape" fitToHeight="0" fitToWidth="1"/>
</worksheet>
</file>

<file path=xl/worksheets/sheet12.xml><?xml version="1.0" encoding="utf-8"?>
<worksheet xmlns="http://schemas.openxmlformats.org/spreadsheetml/2006/main">
  <sheetPr>
    <tabColor rgb="00FAB219"/>
    <outlinePr summaryBelow="1" summaryRight="1"/>
    <pageSetUpPr fitToPage="1"/>
  </sheetPr>
  <dimension ref="B1:D11"/>
  <sheetViews>
    <sheetView showGridLines="0" workbookViewId="0">
      <selection activeCell="A1" sqref="A1"/>
    </sheetView>
  </sheetViews>
  <sheetFormatPr baseColWidth="8" defaultRowHeight="15"/>
  <cols>
    <col width="2" customWidth="1" min="1" max="1"/>
    <col width="30" customWidth="1" min="2" max="2"/>
    <col width="60" customWidth="1" min="3" max="3"/>
    <col width="60" customWidth="1" min="4" max="4"/>
  </cols>
  <sheetData>
    <row r="1" ht="26" customHeight="1">
      <c r="B1" s="13" t="inlineStr">
        <is>
          <t>Built for this role</t>
        </is>
      </c>
    </row>
    <row r="2">
      <c r="B2" s="12" t="inlineStr">
        <is>
          <t>Each JD line, where it is in this teardown, and where I've done it before.</t>
        </is>
      </c>
    </row>
    <row r="4" ht="30" customHeight="1">
      <c r="B4" s="17" t="inlineStr">
        <is>
          <t>The JD asks for</t>
        </is>
      </c>
      <c r="C4" s="18" t="inlineStr">
        <is>
          <t>In this teardown</t>
        </is>
      </c>
      <c r="D4" s="18" t="inlineStr">
        <is>
          <t>Where I've done it before</t>
        </is>
      </c>
    </row>
    <row r="5" ht="44" customHeight="1">
      <c r="B5" s="48" t="inlineStr">
        <is>
          <t>Root cause analysis</t>
        </is>
      </c>
      <c r="C5" s="33" t="inlineStr">
        <is>
          <t>Five whys on each top driver, with evidence vs hypothesis marked and a test that would prove each one wrong</t>
        </is>
      </c>
      <c r="D5" s="33" t="inlineStr">
        <is>
          <t>LVX: funnel analysis across ₹3.5 Cr, ₹7 Cr and ₹9 Cr+ launches; found where investors stalled; conversion up 20%</t>
        </is>
      </c>
    </row>
    <row r="6" ht="44" customHeight="1">
      <c r="B6" s="48" t="inlineStr">
        <is>
          <t>Complaint reduction</t>
        </is>
      </c>
      <c r="C6" s="33" t="inlineStr">
        <is>
          <t>Three fixes with an owner, one metric, a target and a pilot design</t>
        </is>
      </c>
      <c r="D6" s="33" t="inlineStr">
        <is>
          <t>Techvaraha: 4 SOPs, QA workflows and KRAs; on-time delivery from 65% to 90%; zero missed deliverables for 3 quarters</t>
        </is>
      </c>
    </row>
    <row r="7" ht="44" customHeight="1">
      <c r="B7" s="48" t="inlineStr">
        <is>
          <t>Lower contact rates</t>
        </is>
      </c>
      <c r="C7" s="33" t="inlineStr">
        <is>
          <t>Contacts per 100 bookings as the one metric; an impact model in contacts and rupees</t>
        </is>
      </c>
      <c r="D7" s="33" t="inlineStr">
        <is>
          <t>Techvaraha: escalation turnaround down 40% with one tracker and a review rhythm</t>
        </is>
      </c>
    </row>
    <row r="8" ht="44" customHeight="1">
      <c r="B8" s="48" t="inlineStr">
        <is>
          <t>Crisp narrative</t>
        </is>
      </c>
      <c r="C8" s="33" t="inlineStr">
        <is>
          <t>Five slides, three minutes, and a one-page readout: problem, root cause, impact, action</t>
        </is>
      </c>
      <c r="D8" s="33" t="inlineStr">
        <is>
          <t>Techvaraha: 15+ executive presentations</t>
        </is>
      </c>
    </row>
    <row r="9" ht="44" customHeight="1">
      <c r="B9" s="48" t="inlineStr">
        <is>
          <t>Leadership presentations</t>
        </is>
      </c>
      <c r="C9" s="33" t="inlineStr">
        <is>
          <t>A readout written for a VP decision, with the bias said out loud</t>
        </is>
      </c>
      <c r="D9" s="33" t="inlineStr">
        <is>
          <t>LVX: dashboards for the founder and management tracking ₹7 Cr+ of pipeline; reporting accuracy up 30%</t>
        </is>
      </c>
    </row>
    <row r="10" ht="44" customHeight="1">
      <c r="B10" s="48" t="inlineStr">
        <is>
          <t>Clean, trustworthy data</t>
        </is>
      </c>
      <c r="C10" s="33" t="inlineStr">
        <is>
          <t>Two independent taggers, agreement and kappa measured, names and IDs removed</t>
        </is>
      </c>
      <c r="D10" s="33" t="inlineStr">
        <is>
          <t>LVX: reporting SOPs and data workflows; manual errors down 35%</t>
        </is>
      </c>
    </row>
    <row r="11" ht="44" customHeight="1">
      <c r="B11" s="48" t="inlineStr">
        <is>
          <t>Supply-side ops</t>
        </is>
      </c>
      <c r="C11" s="33" t="inlineStr">
        <is>
          <t>No-show root cause traced to slot inventory vs confirmed capacity</t>
        </is>
      </c>
      <c r="D11" s="33" t="inlineStr">
        <is>
          <t>Built a network of 1,400+ healthcare practitioners and 15+ hospital tie-ups</t>
        </is>
      </c>
    </row>
  </sheetData>
  <pageMargins left="0.75" right="0.75" top="1" bottom="1" header="0.5" footer="0.5"/>
  <pageSetup orientation="landscape" fitToHeight="0" fitToWidth="1"/>
</worksheet>
</file>

<file path=xl/worksheets/sheet13.xml><?xml version="1.0" encoding="utf-8"?>
<worksheet xmlns="http://schemas.openxmlformats.org/spreadsheetml/2006/main">
  <sheetPr>
    <tabColor rgb="009CA3AF"/>
    <outlinePr summaryBelow="1" summaryRight="1"/>
    <pageSetUpPr fitToPage="1"/>
  </sheetPr>
  <dimension ref="A1:U501"/>
  <sheetViews>
    <sheetView showGridLines="1" workbookViewId="0">
      <pane xSplit="7" ySplit="1" topLeftCell="H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9" customWidth="1" min="3" max="3"/>
    <col width="6" customWidth="1" min="4" max="4"/>
    <col width="9" customWidth="1" min="5" max="5"/>
    <col width="26" customWidth="1" min="6" max="6"/>
    <col width="70" customWidth="1" min="7" max="7"/>
    <col width="20" customWidth="1" min="8" max="8"/>
    <col width="22" customWidth="1" min="9" max="9"/>
    <col width="22" customWidth="1" min="10" max="10"/>
    <col width="10" customWidth="1" min="11" max="11"/>
    <col width="9" customWidth="1" min="12" max="12"/>
    <col width="9" customWidth="1" min="13" max="13"/>
    <col width="9" customWidth="1" min="14" max="14"/>
    <col width="13" customWidth="1" min="15" max="15"/>
    <col width="11" customWidth="1" min="16" max="16"/>
    <col width="9" customWidth="1" min="17" max="17"/>
    <col width="40" customWidth="1" min="18" max="18"/>
    <col width="18" customWidth="1" min="19" max="19"/>
    <col width="18" customWidth="1" min="20" max="20"/>
    <col width="40" customWidth="1" min="21" max="21"/>
  </cols>
  <sheetData>
    <row r="1" ht="30" customHeight="1">
      <c r="A1" s="17" t="inlineStr">
        <is>
          <t>#</t>
        </is>
      </c>
      <c r="B1" s="18" t="inlineStr">
        <is>
          <t>Date</t>
        </is>
      </c>
      <c r="C1" s="18" t="inlineStr">
        <is>
          <t>Month</t>
        </is>
      </c>
      <c r="D1" s="18" t="inlineStr">
        <is>
          <t>Stars</t>
        </is>
      </c>
      <c r="E1" s="18" t="inlineStr">
        <is>
          <t>App version</t>
        </is>
      </c>
      <c r="F1" s="18" t="inlineStr">
        <is>
          <t>Title</t>
        </is>
      </c>
      <c r="G1" s="18" t="inlineStr">
        <is>
          <t>Review (names and IDs removed)</t>
        </is>
      </c>
      <c r="H1" s="18" t="inlineStr">
        <is>
          <t>Primary driver</t>
        </is>
      </c>
      <c r="I1" s="18" t="inlineStr">
        <is>
          <t>Subtag</t>
        </is>
      </c>
      <c r="J1" s="18" t="inlineStr">
        <is>
          <t>Also mentions</t>
        </is>
      </c>
      <c r="K1" s="18" t="inlineStr">
        <is>
          <t>Contacted support</t>
        </is>
      </c>
      <c r="L1" s="18" t="inlineStr">
        <is>
          <t>Support failed</t>
        </is>
      </c>
      <c r="M1" s="18" t="inlineStr">
        <is>
          <t>Severity</t>
        </is>
      </c>
      <c r="N1" s="18" t="inlineStr">
        <is>
          <t>Says they'll leave</t>
        </is>
      </c>
      <c r="O1" s="18" t="inlineStr">
        <is>
          <t>Service</t>
        </is>
      </c>
      <c r="P1" s="18" t="inlineStr">
        <is>
          <t>City</t>
        </is>
      </c>
      <c r="Q1" s="18" t="inlineStr">
        <is>
          <t>Amount ₹</t>
        </is>
      </c>
      <c r="R1" s="18" t="inlineStr">
        <is>
          <t>Evidence quote</t>
        </is>
      </c>
      <c r="S1" s="18" t="inlineStr">
        <is>
          <t>Tagger A</t>
        </is>
      </c>
      <c r="T1" s="18" t="inlineStr">
        <is>
          <t>Tagger B</t>
        </is>
      </c>
      <c r="U1" s="18" t="inlineStr">
        <is>
          <t>Tie-break note</t>
        </is>
      </c>
    </row>
    <row r="2">
      <c r="A2" s="9" t="n">
        <v>1</v>
      </c>
      <c r="B2" s="58" t="n">
        <v>46316</v>
      </c>
      <c r="C2" s="9" t="str">
        <f>TEXT(B2,"yyyy-mm")</f>
        <v>2026-10</v>
      </c>
      <c r="D2" s="9" t="n">
        <v>1</v>
      </c>
      <c r="E2" s="9" t="inlineStr">
        <is>
          <t>18.9.0</t>
        </is>
      </c>
      <c r="F2" s="59" t="inlineStr">
        <is>
          <t>The most unprofessional service from a lady in Bangalore</t>
        </is>
      </c>
      <c r="G2" s="59" t="inlineStr">
        <is>
          <t>I got assigned a lady called [name] in Bangalore for my service. After I got undressed, she pointed her phone towards me for a picture . I was  totally freaked out, I jumped out of the bed and she said she needs to upload pics for her company. Who takes pics after the person is undressed?? Even after that, she kept saying she’s connecting music etc.. I told her I will get into bed after she’s done with her work on the phone as I feel uncomfortable with a person having their phone while I’m undressed.. so she just said she doesn’t feel comfortable with me and is leaving. 
I had a really bad back ache and waited 45 mins for her to show up and she just cancelled . And the whole time I was soft spoken and polite with her, even the one second where the phone was pointed at me when she was taking my pic, I never helped I just jumped out of the camera frame. And just because I told her I want to get into bed after she’s finishes her phone stuff, she decided to leave
They should really have a way to file a complaint against such bad conduct and remove these providers from the app. After she left, I called the people and they just rescheduled a service. However, the previous provider disappeared from my app and I couldn’t even give her a rating or file a complaint against her. This means that whatever she is up to, she can go from house to house with her phone, and if anyone objects, she can just say I’m uncomfortable working with you and leave. And the people who are oblivious get taken for a ride. 
Honestly, my whole body is shaking after this experience even as a write this review. Definitely not using this app ever again</t>
        </is>
      </c>
      <c r="H2" s="9" t="inlineStr">
        <is>
          <t>service_quality</t>
        </is>
      </c>
      <c r="I2" s="9" t="inlineStr">
        <is>
          <t>safety_or_theft</t>
        </is>
      </c>
      <c r="J2" s="9" t="inlineStr">
        <is>
          <t>partner_cancellation, delay, support</t>
        </is>
      </c>
      <c r="K2" s="9" t="inlineStr">
        <is>
          <t>yes</t>
        </is>
      </c>
      <c r="L2" s="9" t="inlineStr">
        <is>
          <t>yes</t>
        </is>
      </c>
      <c r="M2" s="9" t="inlineStr">
        <is>
          <t>high</t>
        </is>
      </c>
      <c r="N2" s="9" t="inlineStr">
        <is>
          <t>yes</t>
        </is>
      </c>
      <c r="O2" s="9" t="inlineStr">
        <is>
          <t>massage_spa</t>
        </is>
      </c>
      <c r="P2" s="9" t="inlineStr">
        <is>
          <t>Bangalore</t>
        </is>
      </c>
      <c r="Q2" s="9" t="n">
        <v>0</v>
      </c>
      <c r="R2" s="59" t="inlineStr">
        <is>
          <t>After I got undressed, she pointed her phone towards me for a picture . I was  totally freaked out</t>
        </is>
      </c>
      <c r="S2" s="9" t="inlineStr">
        <is>
          <t>service_quality</t>
        </is>
      </c>
      <c r="T2" s="9" t="inlineStr">
        <is>
          <t>service_quality</t>
        </is>
      </c>
      <c r="U2" s="59" t="inlineStr"/>
    </row>
    <row r="3">
      <c r="A3" s="9" t="n">
        <v>2</v>
      </c>
      <c r="B3" s="58" t="n">
        <v>46315</v>
      </c>
      <c r="C3" s="9" t="str">
        <f>TEXT(B3,"yyyy-mm")</f>
        <v>2026-10</v>
      </c>
      <c r="D3" s="9" t="n">
        <v>1</v>
      </c>
      <c r="E3" s="9" t="inlineStr">
        <is>
          <t>18.9.0</t>
        </is>
      </c>
      <c r="F3" s="59" t="inlineStr">
        <is>
          <t>Worst experience</t>
        </is>
      </c>
      <c r="G3" s="59" t="inlineStr">
        <is>
          <t>I don’t want to blame the beautician personally, but my precious time was wasted on a festival day. She was clearly unskilled, and the waxing was done so poorly that my skin got hurt. I stopped the remaining services to avoid further damage. The worst part is that whatever happens to our skin, Yes Madam will simply ignore it, and customers are left to suffer and bear the consequences. They take no responsibility for the damage or discomfort caused. If they cannot ensure skilled professionals and proper service quality, they should not compromise with customers’ skin and safety. Very disappointing experience and a complete waste of time and money.</t>
        </is>
      </c>
      <c r="H3" s="9" t="inlineStr">
        <is>
          <t>service_quality</t>
        </is>
      </c>
      <c r="I3" s="9" t="inlineStr">
        <is>
          <t>skin_injury_or_reaction</t>
        </is>
      </c>
      <c r="J3" s="9" t="inlineStr"/>
      <c r="K3" s="9" t="inlineStr">
        <is>
          <t>no</t>
        </is>
      </c>
      <c r="L3" s="9" t="inlineStr">
        <is>
          <t>no</t>
        </is>
      </c>
      <c r="M3" s="9" t="inlineStr">
        <is>
          <t>high</t>
        </is>
      </c>
      <c r="N3" s="9" t="inlineStr">
        <is>
          <t>no</t>
        </is>
      </c>
      <c r="O3" s="9" t="inlineStr">
        <is>
          <t>waxing</t>
        </is>
      </c>
      <c r="P3" s="9" t="inlineStr"/>
      <c r="Q3" s="9" t="n">
        <v>0</v>
      </c>
      <c r="R3" s="59" t="inlineStr">
        <is>
          <t>She was clearly unskilled, and the waxing was done so poorly that my skin got hurt.</t>
        </is>
      </c>
      <c r="S3" s="9" t="inlineStr">
        <is>
          <t>service_quality</t>
        </is>
      </c>
      <c r="T3" s="9" t="inlineStr">
        <is>
          <t>service_quality</t>
        </is>
      </c>
      <c r="U3" s="59" t="inlineStr"/>
    </row>
    <row r="4">
      <c r="A4" s="9" t="n">
        <v>3</v>
      </c>
      <c r="B4" s="58" t="n">
        <v>46315</v>
      </c>
      <c r="C4" s="9" t="str">
        <f>TEXT(B4,"yyyy-mm")</f>
        <v>2026-10</v>
      </c>
      <c r="D4" s="9" t="n">
        <v>5</v>
      </c>
      <c r="E4" s="9" t="inlineStr">
        <is>
          <t>18.9.0</t>
        </is>
      </c>
      <c r="F4" s="59" t="inlineStr">
        <is>
          <t>Good service</t>
        </is>
      </c>
      <c r="G4" s="59" t="inlineStr">
        <is>
          <t>It’s good</t>
        </is>
      </c>
      <c r="H4" s="9" t="inlineStr">
        <is>
          <t>praise</t>
        </is>
      </c>
      <c r="I4" s="9" t="inlineStr">
        <is>
          <t>praise_service</t>
        </is>
      </c>
      <c r="J4" s="9" t="inlineStr"/>
      <c r="K4" s="9" t="inlineStr">
        <is>
          <t>no</t>
        </is>
      </c>
      <c r="L4" s="9" t="inlineStr">
        <is>
          <t>no</t>
        </is>
      </c>
      <c r="M4" s="9" t="inlineStr">
        <is>
          <t>none</t>
        </is>
      </c>
      <c r="N4" s="9" t="inlineStr">
        <is>
          <t>no</t>
        </is>
      </c>
      <c r="O4" s="9" t="inlineStr">
        <is>
          <t>unknown</t>
        </is>
      </c>
      <c r="P4" s="9" t="inlineStr"/>
      <c r="Q4" s="9" t="n">
        <v>0</v>
      </c>
      <c r="R4" s="59" t="inlineStr">
        <is>
          <t>It’s good</t>
        </is>
      </c>
      <c r="S4" s="9" t="inlineStr">
        <is>
          <t>praise</t>
        </is>
      </c>
      <c r="T4" s="9" t="inlineStr">
        <is>
          <t>praise</t>
        </is>
      </c>
      <c r="U4" s="59" t="inlineStr"/>
    </row>
    <row r="5">
      <c r="A5" s="9" t="n">
        <v>4</v>
      </c>
      <c r="B5" s="58" t="n">
        <v>46315</v>
      </c>
      <c r="C5" s="9" t="str">
        <f>TEXT(B5,"yyyy-mm")</f>
        <v>2026-10</v>
      </c>
      <c r="D5" s="9" t="n">
        <v>3</v>
      </c>
      <c r="E5" s="9" t="inlineStr">
        <is>
          <t>18.9.0</t>
        </is>
      </c>
      <c r="F5" s="59" t="inlineStr">
        <is>
          <t>Use better kit</t>
        </is>
      </c>
      <c r="G5" s="59" t="inlineStr">
        <is>
          <t>Experience would have been better if pedicure kit will have quality products</t>
        </is>
      </c>
      <c r="H5" s="9" t="inlineStr">
        <is>
          <t>product_fit</t>
        </is>
      </c>
      <c r="I5" s="9" t="inlineStr">
        <is>
          <t>product_quality</t>
        </is>
      </c>
      <c r="J5" s="9" t="inlineStr"/>
      <c r="K5" s="9" t="inlineStr">
        <is>
          <t>no</t>
        </is>
      </c>
      <c r="L5" s="9" t="inlineStr">
        <is>
          <t>no</t>
        </is>
      </c>
      <c r="M5" s="9" t="inlineStr">
        <is>
          <t>low</t>
        </is>
      </c>
      <c r="N5" s="9" t="inlineStr">
        <is>
          <t>no</t>
        </is>
      </c>
      <c r="O5" s="9" t="inlineStr">
        <is>
          <t>mani_pedi</t>
        </is>
      </c>
      <c r="P5" s="9" t="inlineStr"/>
      <c r="Q5" s="9" t="n">
        <v>0</v>
      </c>
      <c r="R5" s="59" t="inlineStr">
        <is>
          <t>Experience would have been better if pedicure kit will have quality products</t>
        </is>
      </c>
      <c r="S5" s="9" t="inlineStr">
        <is>
          <t>product_fit</t>
        </is>
      </c>
      <c r="T5" s="9" t="inlineStr">
        <is>
          <t>product_fit</t>
        </is>
      </c>
      <c r="U5" s="59" t="inlineStr"/>
    </row>
    <row r="6">
      <c r="A6" s="9" t="n">
        <v>5</v>
      </c>
      <c r="B6" s="58" t="n">
        <v>46315</v>
      </c>
      <c r="C6" s="9" t="str">
        <f>TEXT(B6,"yyyy-mm")</f>
        <v>2026-10</v>
      </c>
      <c r="D6" s="9" t="n">
        <v>5</v>
      </c>
      <c r="E6" s="9" t="inlineStr">
        <is>
          <t>18.9.0</t>
        </is>
      </c>
      <c r="F6" s="59" t="inlineStr">
        <is>
          <t>Awesome Service</t>
        </is>
      </c>
      <c r="G6" s="59" t="inlineStr">
        <is>
          <t>Extremely convenient !</t>
        </is>
      </c>
      <c r="H6" s="9" t="inlineStr">
        <is>
          <t>praise</t>
        </is>
      </c>
      <c r="I6" s="9" t="inlineStr">
        <is>
          <t>praise_service</t>
        </is>
      </c>
      <c r="J6" s="9" t="inlineStr"/>
      <c r="K6" s="9" t="inlineStr">
        <is>
          <t>no</t>
        </is>
      </c>
      <c r="L6" s="9" t="inlineStr">
        <is>
          <t>no</t>
        </is>
      </c>
      <c r="M6" s="9" t="inlineStr">
        <is>
          <t>none</t>
        </is>
      </c>
      <c r="N6" s="9" t="inlineStr">
        <is>
          <t>no</t>
        </is>
      </c>
      <c r="O6" s="9" t="inlineStr">
        <is>
          <t>unknown</t>
        </is>
      </c>
      <c r="P6" s="9" t="inlineStr"/>
      <c r="Q6" s="9" t="n">
        <v>0</v>
      </c>
      <c r="R6" s="59" t="inlineStr">
        <is>
          <t>Extremely convenient !</t>
        </is>
      </c>
      <c r="S6" s="9" t="inlineStr">
        <is>
          <t>praise</t>
        </is>
      </c>
      <c r="T6" s="9" t="inlineStr">
        <is>
          <t>praise</t>
        </is>
      </c>
      <c r="U6" s="59" t="inlineStr"/>
    </row>
    <row r="7">
      <c r="A7" s="9" t="n">
        <v>6</v>
      </c>
      <c r="B7" s="58" t="n">
        <v>46315</v>
      </c>
      <c r="C7" s="9" t="str">
        <f>TEXT(B7,"yyyy-mm")</f>
        <v>2026-10</v>
      </c>
      <c r="D7" s="9" t="n">
        <v>1</v>
      </c>
      <c r="E7" s="9" t="inlineStr">
        <is>
          <t>18.9.0</t>
        </is>
      </c>
      <c r="F7" s="59" t="inlineStr">
        <is>
          <t>Paid on 16th October but booking not done till now</t>
        </is>
      </c>
      <c r="G7" s="59" t="inlineStr">
        <is>
          <t>I’ve wasted so much time trying to get response but to no avail. Tel number is not working and help chat is disgustingly inefficient</t>
        </is>
      </c>
      <c r="H7" s="9" t="inlineStr">
        <is>
          <t>payment_refund</t>
        </is>
      </c>
      <c r="I7" s="9" t="inlineStr">
        <is>
          <t>charged_not_served</t>
        </is>
      </c>
      <c r="J7" s="9" t="inlineStr">
        <is>
          <t>support</t>
        </is>
      </c>
      <c r="K7" s="9" t="inlineStr">
        <is>
          <t>yes</t>
        </is>
      </c>
      <c r="L7" s="9" t="inlineStr">
        <is>
          <t>yes</t>
        </is>
      </c>
      <c r="M7" s="9" t="inlineStr">
        <is>
          <t>high</t>
        </is>
      </c>
      <c r="N7" s="9" t="inlineStr">
        <is>
          <t>no</t>
        </is>
      </c>
      <c r="O7" s="9" t="inlineStr">
        <is>
          <t>unknown</t>
        </is>
      </c>
      <c r="P7" s="9" t="inlineStr"/>
      <c r="Q7" s="9" t="n">
        <v>0</v>
      </c>
      <c r="R7" s="59" t="inlineStr">
        <is>
          <t>Paid on 16th October but booking not done till now</t>
        </is>
      </c>
      <c r="S7" s="9" t="inlineStr">
        <is>
          <t>payment_refund</t>
        </is>
      </c>
      <c r="T7" s="9" t="inlineStr">
        <is>
          <t>payment_refund</t>
        </is>
      </c>
      <c r="U7" s="59" t="inlineStr"/>
    </row>
    <row r="8">
      <c r="A8" s="9" t="n">
        <v>7</v>
      </c>
      <c r="B8" s="58" t="n">
        <v>46315</v>
      </c>
      <c r="C8" s="9" t="str">
        <f>TEXT(B8,"yyyy-mm")</f>
        <v>2026-10</v>
      </c>
      <c r="D8" s="9" t="n">
        <v>5</v>
      </c>
      <c r="E8" s="9" t="inlineStr">
        <is>
          <t>18.9.0</t>
        </is>
      </c>
      <c r="F8" s="59" t="inlineStr">
        <is>
          <t>Good to go with yes madam</t>
        </is>
      </c>
      <c r="G8" s="59" t="inlineStr">
        <is>
          <t>Very satisfying and comfortable service</t>
        </is>
      </c>
      <c r="H8" s="9" t="inlineStr">
        <is>
          <t>praise</t>
        </is>
      </c>
      <c r="I8" s="9" t="inlineStr">
        <is>
          <t>praise_service</t>
        </is>
      </c>
      <c r="J8" s="9" t="inlineStr"/>
      <c r="K8" s="9" t="inlineStr">
        <is>
          <t>no</t>
        </is>
      </c>
      <c r="L8" s="9" t="inlineStr">
        <is>
          <t>no</t>
        </is>
      </c>
      <c r="M8" s="9" t="inlineStr">
        <is>
          <t>none</t>
        </is>
      </c>
      <c r="N8" s="9" t="inlineStr">
        <is>
          <t>no</t>
        </is>
      </c>
      <c r="O8" s="9" t="inlineStr">
        <is>
          <t>unknown</t>
        </is>
      </c>
      <c r="P8" s="9" t="inlineStr"/>
      <c r="Q8" s="9" t="n">
        <v>0</v>
      </c>
      <c r="R8" s="59" t="inlineStr">
        <is>
          <t>Very satisfying and comfortable service</t>
        </is>
      </c>
      <c r="S8" s="9" t="inlineStr">
        <is>
          <t>praise</t>
        </is>
      </c>
      <c r="T8" s="9" t="inlineStr">
        <is>
          <t>praise</t>
        </is>
      </c>
      <c r="U8" s="59" t="inlineStr"/>
    </row>
    <row r="9">
      <c r="A9" s="9" t="n">
        <v>8</v>
      </c>
      <c r="B9" s="58" t="n">
        <v>46315</v>
      </c>
      <c r="C9" s="9" t="str">
        <f>TEXT(B9,"yyyy-mm")</f>
        <v>2026-10</v>
      </c>
      <c r="D9" s="9" t="n">
        <v>1</v>
      </c>
      <c r="E9" s="9" t="inlineStr">
        <is>
          <t>18.9.0</t>
        </is>
      </c>
      <c r="F9" s="59" t="inlineStr">
        <is>
          <t>Money stollen by [name] professional</t>
        </is>
      </c>
      <c r="G9" s="59" t="inlineStr">
        <is>
          <t>Extremely disappointing experience with Yes Madam! The service was absolutely terrible, and the professional was rude and rushed the massage and pedicure. To make matters worse, our wallet was stolen during the visit, and despite raising this serious issue, Yes Madam has taken no proper action so far. This is completely unacceptable. Customer safety and accountability should be a priority. We paid for a service and ended up dealing with such a distressing experience. I would not recommend this app until they take responsibility and resolve this matter. Yes Madam, please take action and help us recover our stolen money.</t>
        </is>
      </c>
      <c r="H9" s="9" t="inlineStr">
        <is>
          <t>service_quality</t>
        </is>
      </c>
      <c r="I9" s="9" t="inlineStr">
        <is>
          <t>safety_or_theft</t>
        </is>
      </c>
      <c r="J9" s="9" t="inlineStr">
        <is>
          <t>support</t>
        </is>
      </c>
      <c r="K9" s="9" t="inlineStr">
        <is>
          <t>yes</t>
        </is>
      </c>
      <c r="L9" s="9" t="inlineStr">
        <is>
          <t>yes</t>
        </is>
      </c>
      <c r="M9" s="9" t="inlineStr">
        <is>
          <t>high</t>
        </is>
      </c>
      <c r="N9" s="9" t="inlineStr">
        <is>
          <t>no</t>
        </is>
      </c>
      <c r="O9" s="9" t="inlineStr">
        <is>
          <t>multiple</t>
        </is>
      </c>
      <c r="P9" s="9" t="inlineStr"/>
      <c r="Q9" s="9" t="n">
        <v>0</v>
      </c>
      <c r="R9" s="59" t="inlineStr">
        <is>
          <t>our wallet was stolen during the visit, and despite raising this serious issue, Yes Madam has taken no proper action so far.</t>
        </is>
      </c>
      <c r="S9" s="9" t="inlineStr">
        <is>
          <t>service_quality</t>
        </is>
      </c>
      <c r="T9" s="9" t="inlineStr">
        <is>
          <t>service_quality</t>
        </is>
      </c>
      <c r="U9" s="59" t="inlineStr"/>
    </row>
    <row r="10">
      <c r="A10" s="9" t="n">
        <v>9</v>
      </c>
      <c r="B10" s="58" t="n">
        <v>46314</v>
      </c>
      <c r="C10" s="9" t="str">
        <f>TEXT(B10,"yyyy-mm")</f>
        <v>2026-10</v>
      </c>
      <c r="D10" s="9" t="n">
        <v>1</v>
      </c>
      <c r="E10" s="9" t="inlineStr">
        <is>
          <t>18.9.0</t>
        </is>
      </c>
      <c r="F10" s="59" t="inlineStr">
        <is>
          <t>App crash not opening</t>
        </is>
      </c>
      <c r="G10" s="59" t="inlineStr">
        <is>
          <t>The app keeps crashing despite re-download it’s just not opening</t>
        </is>
      </c>
      <c r="H10" s="9" t="inlineStr">
        <is>
          <t>app</t>
        </is>
      </c>
      <c r="I10" s="9" t="inlineStr">
        <is>
          <t>crash_or_wont_open</t>
        </is>
      </c>
      <c r="J10" s="9" t="inlineStr"/>
      <c r="K10" s="9" t="inlineStr">
        <is>
          <t>no</t>
        </is>
      </c>
      <c r="L10" s="9" t="inlineStr">
        <is>
          <t>no</t>
        </is>
      </c>
      <c r="M10" s="9" t="inlineStr">
        <is>
          <t>low</t>
        </is>
      </c>
      <c r="N10" s="9" t="inlineStr">
        <is>
          <t>no</t>
        </is>
      </c>
      <c r="O10" s="9" t="inlineStr">
        <is>
          <t>unknown</t>
        </is>
      </c>
      <c r="P10" s="9" t="inlineStr"/>
      <c r="Q10" s="9" t="n">
        <v>0</v>
      </c>
      <c r="R10" s="59" t="inlineStr">
        <is>
          <t>The app keeps crashing despite re-download it’s just not opening</t>
        </is>
      </c>
      <c r="S10" s="9" t="inlineStr">
        <is>
          <t>app</t>
        </is>
      </c>
      <c r="T10" s="9" t="inlineStr">
        <is>
          <t>app</t>
        </is>
      </c>
      <c r="U10" s="59" t="inlineStr"/>
    </row>
    <row r="11">
      <c r="A11" s="9" t="n">
        <v>10</v>
      </c>
      <c r="B11" s="58" t="n">
        <v>46314</v>
      </c>
      <c r="C11" s="9" t="str">
        <f>TEXT(B11,"yyyy-mm")</f>
        <v>2026-10</v>
      </c>
      <c r="D11" s="9" t="n">
        <v>2</v>
      </c>
      <c r="E11" s="9" t="inlineStr">
        <is>
          <t>18.9.0</t>
        </is>
      </c>
      <c r="F11" s="59" t="inlineStr">
        <is>
          <t>Hiddden charges</t>
        </is>
      </c>
      <c r="G11" s="59" t="inlineStr">
        <is>
          <t>Too many hidden charges are on every service. If I’m booking a spa for 970 it sums up to 1399 by the end of the payment . Not cool not impressive</t>
        </is>
      </c>
      <c r="H11" s="9" t="inlineStr">
        <is>
          <t>price_clarity</t>
        </is>
      </c>
      <c r="I11" s="9" t="inlineStr">
        <is>
          <t>hidden_charges</t>
        </is>
      </c>
      <c r="J11" s="9" t="inlineStr"/>
      <c r="K11" s="9" t="inlineStr">
        <is>
          <t>no</t>
        </is>
      </c>
      <c r="L11" s="9" t="inlineStr">
        <is>
          <t>no</t>
        </is>
      </c>
      <c r="M11" s="9" t="inlineStr">
        <is>
          <t>low</t>
        </is>
      </c>
      <c r="N11" s="9" t="inlineStr">
        <is>
          <t>no</t>
        </is>
      </c>
      <c r="O11" s="9" t="inlineStr">
        <is>
          <t>massage_spa</t>
        </is>
      </c>
      <c r="P11" s="9" t="inlineStr"/>
      <c r="Q11" s="9" t="n">
        <v>1399</v>
      </c>
      <c r="R11" s="59" t="inlineStr">
        <is>
          <t>If I’m booking a spa for 970 it sums up to 1399 by the end of the payment</t>
        </is>
      </c>
      <c r="S11" s="9" t="inlineStr">
        <is>
          <t>price_clarity</t>
        </is>
      </c>
      <c r="T11" s="9" t="inlineStr">
        <is>
          <t>price_clarity</t>
        </is>
      </c>
      <c r="U11" s="59" t="inlineStr"/>
    </row>
    <row r="12">
      <c r="A12" s="9" t="n">
        <v>11</v>
      </c>
      <c r="B12" s="58" t="n">
        <v>46314</v>
      </c>
      <c r="C12" s="9" t="str">
        <f>TEXT(B12,"yyyy-mm")</f>
        <v>2026-10</v>
      </c>
      <c r="D12" s="9" t="n">
        <v>1</v>
      </c>
      <c r="E12" s="9" t="inlineStr">
        <is>
          <t>18.9.0</t>
        </is>
      </c>
      <c r="F12" s="59" t="inlineStr">
        <is>
          <t>Fake promo</t>
        </is>
      </c>
      <c r="G12" s="59" t="inlineStr">
        <is>
          <t>Do not download this app. They will send you fake notifications about you have coupon in your wallet but actually they dont give you any. it is a way for them to increase down and collect customer data.</t>
        </is>
      </c>
      <c r="H12" s="9" t="inlineStr">
        <is>
          <t>price_clarity</t>
        </is>
      </c>
      <c r="I12" s="9" t="inlineStr">
        <is>
          <t>offer_not_honoured</t>
        </is>
      </c>
      <c r="J12" s="9" t="inlineStr">
        <is>
          <t>app</t>
        </is>
      </c>
      <c r="K12" s="9" t="inlineStr">
        <is>
          <t>no</t>
        </is>
      </c>
      <c r="L12" s="9" t="inlineStr">
        <is>
          <t>no</t>
        </is>
      </c>
      <c r="M12" s="9" t="inlineStr">
        <is>
          <t>low</t>
        </is>
      </c>
      <c r="N12" s="9" t="inlineStr">
        <is>
          <t>no</t>
        </is>
      </c>
      <c r="O12" s="9" t="inlineStr">
        <is>
          <t>unknown</t>
        </is>
      </c>
      <c r="P12" s="9" t="inlineStr"/>
      <c r="Q12" s="9" t="n">
        <v>0</v>
      </c>
      <c r="R12" s="59" t="inlineStr">
        <is>
          <t>They will send you fake notifications about you have coupon in your wallet but actually they dont give you any.</t>
        </is>
      </c>
      <c r="S12" s="9" t="inlineStr">
        <is>
          <t>price_clarity</t>
        </is>
      </c>
      <c r="T12" s="9" t="inlineStr">
        <is>
          <t>price_clarity</t>
        </is>
      </c>
      <c r="U12" s="59" t="inlineStr"/>
    </row>
    <row r="13">
      <c r="A13" s="9" t="n">
        <v>12</v>
      </c>
      <c r="B13" s="58" t="n">
        <v>46314</v>
      </c>
      <c r="C13" s="9" t="str">
        <f>TEXT(B13,"yyyy-mm")</f>
        <v>2026-10</v>
      </c>
      <c r="D13" s="9" t="n">
        <v>5</v>
      </c>
      <c r="E13" s="9" t="inlineStr">
        <is>
          <t>18.9.0</t>
        </is>
      </c>
      <c r="F13" s="59" t="inlineStr">
        <is>
          <t>Excellent</t>
        </is>
      </c>
      <c r="G13" s="59" t="inlineStr">
        <is>
          <t>Excellent service with professional’ hygiene &amp; cleanup after work</t>
        </is>
      </c>
      <c r="H13" s="9" t="inlineStr">
        <is>
          <t>praise</t>
        </is>
      </c>
      <c r="I13" s="9" t="inlineStr">
        <is>
          <t>praise_service</t>
        </is>
      </c>
      <c r="J13" s="9" t="inlineStr"/>
      <c r="K13" s="9" t="inlineStr">
        <is>
          <t>no</t>
        </is>
      </c>
      <c r="L13" s="9" t="inlineStr">
        <is>
          <t>no</t>
        </is>
      </c>
      <c r="M13" s="9" t="inlineStr">
        <is>
          <t>none</t>
        </is>
      </c>
      <c r="N13" s="9" t="inlineStr">
        <is>
          <t>no</t>
        </is>
      </c>
      <c r="O13" s="9" t="inlineStr">
        <is>
          <t>unknown</t>
        </is>
      </c>
      <c r="P13" s="9" t="inlineStr"/>
      <c r="Q13" s="9" t="n">
        <v>0</v>
      </c>
      <c r="R13" s="59" t="inlineStr">
        <is>
          <t>Excellent service with professional’ hygiene &amp; cleanup after work</t>
        </is>
      </c>
      <c r="S13" s="9" t="inlineStr">
        <is>
          <t>praise</t>
        </is>
      </c>
      <c r="T13" s="9" t="inlineStr">
        <is>
          <t>praise</t>
        </is>
      </c>
      <c r="U13" s="59" t="inlineStr"/>
    </row>
    <row r="14">
      <c r="A14" s="9" t="n">
        <v>13</v>
      </c>
      <c r="B14" s="58" t="n">
        <v>46314</v>
      </c>
      <c r="C14" s="9" t="str">
        <f>TEXT(B14,"yyyy-mm")</f>
        <v>2026-10</v>
      </c>
      <c r="D14" s="9" t="n">
        <v>1</v>
      </c>
      <c r="E14" s="9" t="inlineStr">
        <is>
          <t>18.9.0</t>
        </is>
      </c>
      <c r="F14" s="59" t="inlineStr">
        <is>
          <t>Third class company</t>
        </is>
      </c>
      <c r="G14" s="59" t="inlineStr">
        <is>
          <t>Worst ever app I have seen</t>
        </is>
      </c>
      <c r="H14" s="9" t="inlineStr">
        <is>
          <t>other</t>
        </is>
      </c>
      <c r="I14" s="9" t="inlineStr">
        <is>
          <t>unclear</t>
        </is>
      </c>
      <c r="J14" s="9" t="inlineStr"/>
      <c r="K14" s="9" t="inlineStr">
        <is>
          <t>no</t>
        </is>
      </c>
      <c r="L14" s="9" t="inlineStr">
        <is>
          <t>no</t>
        </is>
      </c>
      <c r="M14" s="9" t="inlineStr">
        <is>
          <t>low</t>
        </is>
      </c>
      <c r="N14" s="9" t="inlineStr">
        <is>
          <t>no</t>
        </is>
      </c>
      <c r="O14" s="9" t="inlineStr">
        <is>
          <t>unknown</t>
        </is>
      </c>
      <c r="P14" s="9" t="inlineStr"/>
      <c r="Q14" s="9" t="n">
        <v>0</v>
      </c>
      <c r="R14" s="59" t="inlineStr">
        <is>
          <t>Worst ever app I have seen</t>
        </is>
      </c>
      <c r="S14" s="9" t="inlineStr">
        <is>
          <t>other</t>
        </is>
      </c>
      <c r="T14" s="9" t="inlineStr">
        <is>
          <t>other</t>
        </is>
      </c>
      <c r="U14" s="59" t="inlineStr"/>
    </row>
    <row r="15">
      <c r="A15" s="9" t="n">
        <v>14</v>
      </c>
      <c r="B15" s="58" t="n">
        <v>46313</v>
      </c>
      <c r="C15" s="9" t="str">
        <f>TEXT(B15,"yyyy-mm")</f>
        <v>2026-10</v>
      </c>
      <c r="D15" s="9" t="n">
        <v>5</v>
      </c>
      <c r="E15" s="9" t="inlineStr">
        <is>
          <t>18.9.0</t>
        </is>
      </c>
      <c r="F15" s="59" t="inlineStr">
        <is>
          <t>[name] Yes Madam</t>
        </is>
      </c>
      <c r="G15" s="59" t="inlineStr">
        <is>
          <t>Amazing behaviour and service with additional massage also given complimentary! , strongly recommend her !</t>
        </is>
      </c>
      <c r="H15" s="9" t="inlineStr">
        <is>
          <t>praise</t>
        </is>
      </c>
      <c r="I15" s="9" t="inlineStr">
        <is>
          <t>praise_professional</t>
        </is>
      </c>
      <c r="J15" s="9" t="inlineStr"/>
      <c r="K15" s="9" t="inlineStr">
        <is>
          <t>no</t>
        </is>
      </c>
      <c r="L15" s="9" t="inlineStr">
        <is>
          <t>no</t>
        </is>
      </c>
      <c r="M15" s="9" t="inlineStr">
        <is>
          <t>none</t>
        </is>
      </c>
      <c r="N15" s="9" t="inlineStr">
        <is>
          <t>no</t>
        </is>
      </c>
      <c r="O15" s="9" t="inlineStr">
        <is>
          <t>massage_spa</t>
        </is>
      </c>
      <c r="P15" s="9" t="inlineStr"/>
      <c r="Q15" s="9" t="n">
        <v>0</v>
      </c>
      <c r="R15" s="59" t="inlineStr">
        <is>
          <t>Amazing behaviour and service with additional massage also given complimentary! , strongly recommend her !</t>
        </is>
      </c>
      <c r="S15" s="9" t="inlineStr">
        <is>
          <t>praise</t>
        </is>
      </c>
      <c r="T15" s="9" t="inlineStr">
        <is>
          <t>praise</t>
        </is>
      </c>
      <c r="U15" s="59" t="inlineStr"/>
    </row>
    <row r="16">
      <c r="A16" s="9" t="n">
        <v>15</v>
      </c>
      <c r="B16" s="58" t="n">
        <v>46313</v>
      </c>
      <c r="C16" s="9" t="str">
        <f>TEXT(B16,"yyyy-mm")</f>
        <v>2026-10</v>
      </c>
      <c r="D16" s="9" t="n">
        <v>1</v>
      </c>
      <c r="E16" s="9" t="inlineStr">
        <is>
          <t>18.9.0</t>
        </is>
      </c>
      <c r="F16" s="59" t="inlineStr">
        <is>
          <t>Cancel my booking at the end moment</t>
        </is>
      </c>
      <c r="G16" s="59" t="inlineStr">
        <is>
          <t>Very Disappointing Service – Poor Customer Experience
This was my first time booking a service through this app, and unfortunately, it was a very disappointing experience. My appointment was scheduled for 5:30 PM, and I waited the entire day for the service. However, at 5:40 PM, after the scheduled appointment time, I received a call from the executive informing me that my service had been cancelled.
This is highly unprofessional and unacceptable. If the service was going to be cancelled, the company should have informed me well in advance instead of wasting my entire day.
There is no respect for the customer’s time or commitment. My first experience with this app has been extremely disappointing. I would not recommend this service unless the company improves its booking system, communication, and customer service.</t>
        </is>
      </c>
      <c r="H16" s="9" t="inlineStr">
        <is>
          <t>partner_cancellation</t>
        </is>
      </c>
      <c r="I16" s="9" t="inlineStr">
        <is>
          <t>last_minute_cancel</t>
        </is>
      </c>
      <c r="J16" s="9" t="inlineStr"/>
      <c r="K16" s="9" t="inlineStr">
        <is>
          <t>no</t>
        </is>
      </c>
      <c r="L16" s="9" t="inlineStr">
        <is>
          <t>no</t>
        </is>
      </c>
      <c r="M16" s="9" t="inlineStr">
        <is>
          <t>medium</t>
        </is>
      </c>
      <c r="N16" s="9" t="inlineStr">
        <is>
          <t>no</t>
        </is>
      </c>
      <c r="O16" s="9" t="inlineStr">
        <is>
          <t>unknown</t>
        </is>
      </c>
      <c r="P16" s="9" t="inlineStr"/>
      <c r="Q16" s="9" t="n">
        <v>0</v>
      </c>
      <c r="R16" s="59" t="inlineStr">
        <is>
          <t>at 5:40 PM, after the scheduled appointment time, I received a call from the executive informing me that my service had been cancelled.</t>
        </is>
      </c>
      <c r="S16" s="9" t="inlineStr">
        <is>
          <t>partner_cancellation</t>
        </is>
      </c>
      <c r="T16" s="9" t="inlineStr">
        <is>
          <t>partner_cancellation</t>
        </is>
      </c>
      <c r="U16" s="59" t="inlineStr"/>
    </row>
    <row r="17">
      <c r="A17" s="9" t="n">
        <v>16</v>
      </c>
      <c r="B17" s="58" t="n">
        <v>46313</v>
      </c>
      <c r="C17" s="9" t="str">
        <f>TEXT(B17,"yyyy-mm")</f>
        <v>2026-10</v>
      </c>
      <c r="D17" s="9" t="n">
        <v>5</v>
      </c>
      <c r="E17" s="9" t="inlineStr">
        <is>
          <t>18.9.0</t>
        </is>
      </c>
      <c r="F17" s="59" t="inlineStr">
        <is>
          <t>Spa</t>
        </is>
      </c>
      <c r="G17" s="59" t="inlineStr">
        <is>
          <t>👌Nice experience</t>
        </is>
      </c>
      <c r="H17" s="9" t="inlineStr">
        <is>
          <t>praise</t>
        </is>
      </c>
      <c r="I17" s="9" t="inlineStr">
        <is>
          <t>praise_service</t>
        </is>
      </c>
      <c r="J17" s="9" t="inlineStr"/>
      <c r="K17" s="9" t="inlineStr">
        <is>
          <t>no</t>
        </is>
      </c>
      <c r="L17" s="9" t="inlineStr">
        <is>
          <t>no</t>
        </is>
      </c>
      <c r="M17" s="9" t="inlineStr">
        <is>
          <t>none</t>
        </is>
      </c>
      <c r="N17" s="9" t="inlineStr">
        <is>
          <t>no</t>
        </is>
      </c>
      <c r="O17" s="9" t="inlineStr">
        <is>
          <t>massage_spa</t>
        </is>
      </c>
      <c r="P17" s="9" t="inlineStr"/>
      <c r="Q17" s="9" t="n">
        <v>0</v>
      </c>
      <c r="R17" s="59" t="inlineStr">
        <is>
          <t>👌Nice experience</t>
        </is>
      </c>
      <c r="S17" s="9" t="inlineStr">
        <is>
          <t>praise</t>
        </is>
      </c>
      <c r="T17" s="9" t="inlineStr">
        <is>
          <t>praise</t>
        </is>
      </c>
      <c r="U17" s="59" t="inlineStr"/>
    </row>
    <row r="18">
      <c r="A18" s="9" t="n">
        <v>17</v>
      </c>
      <c r="B18" s="58" t="n">
        <v>46313</v>
      </c>
      <c r="C18" s="9" t="str">
        <f>TEXT(B18,"yyyy-mm")</f>
        <v>2026-10</v>
      </c>
      <c r="D18" s="9" t="n">
        <v>5</v>
      </c>
      <c r="E18" s="9" t="inlineStr">
        <is>
          <t>18.9.0</t>
        </is>
      </c>
      <c r="F18" s="59" t="inlineStr">
        <is>
          <t>[name]</t>
        </is>
      </c>
      <c r="G18" s="59" t="inlineStr">
        <is>
          <t>Very good person, [name] thnx u</t>
        </is>
      </c>
      <c r="H18" s="9" t="inlineStr">
        <is>
          <t>praise</t>
        </is>
      </c>
      <c r="I18" s="9" t="inlineStr">
        <is>
          <t>praise_professional</t>
        </is>
      </c>
      <c r="J18" s="9" t="inlineStr"/>
      <c r="K18" s="9" t="inlineStr">
        <is>
          <t>no</t>
        </is>
      </c>
      <c r="L18" s="9" t="inlineStr">
        <is>
          <t>no</t>
        </is>
      </c>
      <c r="M18" s="9" t="inlineStr">
        <is>
          <t>none</t>
        </is>
      </c>
      <c r="N18" s="9" t="inlineStr">
        <is>
          <t>no</t>
        </is>
      </c>
      <c r="O18" s="9" t="inlineStr">
        <is>
          <t>unknown</t>
        </is>
      </c>
      <c r="P18" s="9" t="inlineStr"/>
      <c r="Q18" s="9" t="n">
        <v>0</v>
      </c>
      <c r="R18" s="59" t="inlineStr">
        <is>
          <t>Very good person, [name] thnx u</t>
        </is>
      </c>
      <c r="S18" s="9" t="inlineStr">
        <is>
          <t>praise</t>
        </is>
      </c>
      <c r="T18" s="9" t="inlineStr">
        <is>
          <t>praise</t>
        </is>
      </c>
      <c r="U18" s="59" t="inlineStr"/>
    </row>
    <row r="19">
      <c r="A19" s="9" t="n">
        <v>18</v>
      </c>
      <c r="B19" s="58" t="n">
        <v>46313</v>
      </c>
      <c r="C19" s="9" t="str">
        <f>TEXT(B19,"yyyy-mm")</f>
        <v>2026-10</v>
      </c>
      <c r="D19" s="9" t="n">
        <v>1</v>
      </c>
      <c r="E19" s="9" t="inlineStr">
        <is>
          <t>18.9.0</t>
        </is>
      </c>
      <c r="F19" s="59" t="inlineStr">
        <is>
          <t>Worst customer care service</t>
        </is>
      </c>
      <c r="G19" s="59" t="inlineStr">
        <is>
          <t>Very pathetic experience with laser treatment, they don’t give refunds on time, will be filing case in consumer court on this pathetic app, quality of services are pathetic</t>
        </is>
      </c>
      <c r="H19" s="9" t="inlineStr">
        <is>
          <t>payment_refund</t>
        </is>
      </c>
      <c r="I19" s="9" t="inlineStr">
        <is>
          <t>refund_delayed</t>
        </is>
      </c>
      <c r="J19" s="9" t="inlineStr">
        <is>
          <t>support, service_quality</t>
        </is>
      </c>
      <c r="K19" s="9" t="inlineStr">
        <is>
          <t>yes</t>
        </is>
      </c>
      <c r="L19" s="9" t="inlineStr">
        <is>
          <t>yes</t>
        </is>
      </c>
      <c r="M19" s="9" t="inlineStr">
        <is>
          <t>high</t>
        </is>
      </c>
      <c r="N19" s="9" t="inlineStr">
        <is>
          <t>no</t>
        </is>
      </c>
      <c r="O19" s="9" t="inlineStr">
        <is>
          <t>laser_advanced</t>
        </is>
      </c>
      <c r="P19" s="9" t="inlineStr"/>
      <c r="Q19" s="9" t="n">
        <v>0</v>
      </c>
      <c r="R19" s="59" t="inlineStr">
        <is>
          <t>Very pathetic experience with laser treatment, they don’t give refunds on time, will be filing case in consumer court</t>
        </is>
      </c>
      <c r="S19" s="9" t="inlineStr">
        <is>
          <t>payment_refund</t>
        </is>
      </c>
      <c r="T19" s="9" t="inlineStr">
        <is>
          <t>payment_refund</t>
        </is>
      </c>
      <c r="U19" s="59" t="inlineStr"/>
    </row>
    <row r="20">
      <c r="A20" s="9" t="n">
        <v>19</v>
      </c>
      <c r="B20" s="58" t="n">
        <v>46313</v>
      </c>
      <c r="C20" s="9" t="str">
        <f>TEXT(B20,"yyyy-mm")</f>
        <v>2026-10</v>
      </c>
      <c r="D20" s="9" t="n">
        <v>1</v>
      </c>
      <c r="E20" s="9" t="inlineStr">
        <is>
          <t>18.9.0</t>
        </is>
      </c>
      <c r="F20" s="59" t="inlineStr">
        <is>
          <t>App crashes on IPhone</t>
        </is>
      </c>
      <c r="G20" s="59" t="inlineStr">
        <is>
          <t>The app crashes on my iPhone not sure why it was working before</t>
        </is>
      </c>
      <c r="H20" s="9" t="inlineStr">
        <is>
          <t>app</t>
        </is>
      </c>
      <c r="I20" s="9" t="inlineStr">
        <is>
          <t>crash_or_wont_open</t>
        </is>
      </c>
      <c r="J20" s="9" t="inlineStr"/>
      <c r="K20" s="9" t="inlineStr">
        <is>
          <t>no</t>
        </is>
      </c>
      <c r="L20" s="9" t="inlineStr">
        <is>
          <t>no</t>
        </is>
      </c>
      <c r="M20" s="9" t="inlineStr">
        <is>
          <t>low</t>
        </is>
      </c>
      <c r="N20" s="9" t="inlineStr">
        <is>
          <t>no</t>
        </is>
      </c>
      <c r="O20" s="9" t="inlineStr">
        <is>
          <t>unknown</t>
        </is>
      </c>
      <c r="P20" s="9" t="inlineStr"/>
      <c r="Q20" s="9" t="n">
        <v>0</v>
      </c>
      <c r="R20" s="59" t="inlineStr">
        <is>
          <t>The app crashes on my iPhone not sure why it was working before</t>
        </is>
      </c>
      <c r="S20" s="9" t="inlineStr">
        <is>
          <t>app</t>
        </is>
      </c>
      <c r="T20" s="9" t="inlineStr">
        <is>
          <t>app</t>
        </is>
      </c>
      <c r="U20" s="59" t="inlineStr"/>
    </row>
    <row r="21">
      <c r="A21" s="9" t="n">
        <v>20</v>
      </c>
      <c r="B21" s="58" t="n">
        <v>46312</v>
      </c>
      <c r="C21" s="9" t="str">
        <f>TEXT(B21,"yyyy-mm")</f>
        <v>2026-10</v>
      </c>
      <c r="D21" s="9" t="n">
        <v>5</v>
      </c>
      <c r="E21" s="9" t="inlineStr">
        <is>
          <t>18.9.0</t>
        </is>
      </c>
      <c r="F21" s="59" t="inlineStr">
        <is>
          <t>satisfied</t>
        </is>
      </c>
      <c r="G21" s="59" t="inlineStr">
        <is>
          <t>Very good</t>
        </is>
      </c>
      <c r="H21" s="9" t="inlineStr">
        <is>
          <t>praise</t>
        </is>
      </c>
      <c r="I21" s="9" t="inlineStr">
        <is>
          <t>praise_service</t>
        </is>
      </c>
      <c r="J21" s="9" t="inlineStr"/>
      <c r="K21" s="9" t="inlineStr">
        <is>
          <t>no</t>
        </is>
      </c>
      <c r="L21" s="9" t="inlineStr">
        <is>
          <t>no</t>
        </is>
      </c>
      <c r="M21" s="9" t="inlineStr">
        <is>
          <t>none</t>
        </is>
      </c>
      <c r="N21" s="9" t="inlineStr">
        <is>
          <t>no</t>
        </is>
      </c>
      <c r="O21" s="9" t="inlineStr">
        <is>
          <t>unknown</t>
        </is>
      </c>
      <c r="P21" s="9" t="inlineStr"/>
      <c r="Q21" s="9" t="n">
        <v>0</v>
      </c>
      <c r="R21" s="59" t="inlineStr">
        <is>
          <t>Very good</t>
        </is>
      </c>
      <c r="S21" s="9" t="inlineStr">
        <is>
          <t>praise</t>
        </is>
      </c>
      <c r="T21" s="9" t="inlineStr">
        <is>
          <t>praise</t>
        </is>
      </c>
      <c r="U21" s="59" t="inlineStr"/>
    </row>
    <row r="22">
      <c r="A22" s="9" t="n">
        <v>21</v>
      </c>
      <c r="B22" s="58" t="n">
        <v>46312</v>
      </c>
      <c r="C22" s="9" t="str">
        <f>TEXT(B22,"yyyy-mm")</f>
        <v>2026-10</v>
      </c>
      <c r="D22" s="9" t="n">
        <v>2</v>
      </c>
      <c r="E22" s="9" t="inlineStr">
        <is>
          <t>18.9.0</t>
        </is>
      </c>
      <c r="F22" s="59" t="inlineStr">
        <is>
          <t>App is freezing unable to open App</t>
        </is>
      </c>
      <c r="G22" s="59" t="inlineStr">
        <is>
          <t>I have 1000₹ coupon and free service of pedicure, unable to access through website or app. Need urgent help.</t>
        </is>
      </c>
      <c r="H22" s="9" t="inlineStr">
        <is>
          <t>app</t>
        </is>
      </c>
      <c r="I22" s="9" t="inlineStr">
        <is>
          <t>crash_or_wont_open</t>
        </is>
      </c>
      <c r="J22" s="9" t="inlineStr">
        <is>
          <t>price_clarity</t>
        </is>
      </c>
      <c r="K22" s="9" t="inlineStr">
        <is>
          <t>no</t>
        </is>
      </c>
      <c r="L22" s="9" t="inlineStr">
        <is>
          <t>no</t>
        </is>
      </c>
      <c r="M22" s="9" t="inlineStr">
        <is>
          <t>low</t>
        </is>
      </c>
      <c r="N22" s="9" t="inlineStr">
        <is>
          <t>no</t>
        </is>
      </c>
      <c r="O22" s="9" t="inlineStr">
        <is>
          <t>mani_pedi</t>
        </is>
      </c>
      <c r="P22" s="9" t="inlineStr"/>
      <c r="Q22" s="9" t="n">
        <v>1000</v>
      </c>
      <c r="R22" s="59" t="inlineStr">
        <is>
          <t>I have 1000₹ coupon and free service of pedicure, unable to access through website or app.</t>
        </is>
      </c>
      <c r="S22" s="9" t="inlineStr">
        <is>
          <t>app</t>
        </is>
      </c>
      <c r="T22" s="9" t="inlineStr">
        <is>
          <t>app</t>
        </is>
      </c>
      <c r="U22" s="59" t="inlineStr"/>
    </row>
    <row r="23">
      <c r="A23" s="9" t="n">
        <v>22</v>
      </c>
      <c r="B23" s="58" t="n">
        <v>46312</v>
      </c>
      <c r="C23" s="9" t="str">
        <f>TEXT(B23,"yyyy-mm")</f>
        <v>2026-10</v>
      </c>
      <c r="D23" s="9" t="n">
        <v>1</v>
      </c>
      <c r="E23" s="9" t="inlineStr">
        <is>
          <t>18.9.0</t>
        </is>
      </c>
      <c r="F23" s="59" t="inlineStr">
        <is>
          <t>Horrible service</t>
        </is>
      </c>
      <c r="G23" s="59" t="inlineStr">
        <is>
          <t>They keep on rescheduling the appointment cant appoint a professional if one not available. They want their customer to suffer or compromise rather than providing solution themselves.</t>
        </is>
      </c>
      <c r="H23" s="9" t="inlineStr">
        <is>
          <t>partner_cancellation</t>
        </is>
      </c>
      <c r="I23" s="9" t="inlineStr">
        <is>
          <t>repeated_reschedule</t>
        </is>
      </c>
      <c r="J23" s="9" t="inlineStr"/>
      <c r="K23" s="9" t="inlineStr">
        <is>
          <t>no</t>
        </is>
      </c>
      <c r="L23" s="9" t="inlineStr">
        <is>
          <t>no</t>
        </is>
      </c>
      <c r="M23" s="9" t="inlineStr">
        <is>
          <t>medium</t>
        </is>
      </c>
      <c r="N23" s="9" t="inlineStr">
        <is>
          <t>no</t>
        </is>
      </c>
      <c r="O23" s="9" t="inlineStr">
        <is>
          <t>unknown</t>
        </is>
      </c>
      <c r="P23" s="9" t="inlineStr"/>
      <c r="Q23" s="9" t="n">
        <v>0</v>
      </c>
      <c r="R23" s="59" t="inlineStr">
        <is>
          <t>They keep on rescheduling the appointment cant appoint a professional if one not available.</t>
        </is>
      </c>
      <c r="S23" s="9" t="inlineStr">
        <is>
          <t>partner_cancellation</t>
        </is>
      </c>
      <c r="T23" s="9" t="inlineStr">
        <is>
          <t>partner_cancellation</t>
        </is>
      </c>
      <c r="U23" s="59" t="inlineStr"/>
    </row>
    <row r="24">
      <c r="A24" s="9" t="n">
        <v>23</v>
      </c>
      <c r="B24" s="58" t="n">
        <v>46312</v>
      </c>
      <c r="C24" s="9" t="str">
        <f>TEXT(B24,"yyyy-mm")</f>
        <v>2026-10</v>
      </c>
      <c r="D24" s="9" t="n">
        <v>1</v>
      </c>
      <c r="E24" s="9" t="inlineStr">
        <is>
          <t>18.9.0</t>
        </is>
      </c>
      <c r="F24" s="59" t="inlineStr">
        <is>
          <t>Fake promises</t>
        </is>
      </c>
      <c r="G24" s="59" t="inlineStr">
        <is>
          <t>Fake claims for free pedicure.</t>
        </is>
      </c>
      <c r="H24" s="9" t="inlineStr">
        <is>
          <t>price_clarity</t>
        </is>
      </c>
      <c r="I24" s="9" t="inlineStr">
        <is>
          <t>offer_not_honoured</t>
        </is>
      </c>
      <c r="J24" s="9" t="inlineStr"/>
      <c r="K24" s="9" t="inlineStr">
        <is>
          <t>no</t>
        </is>
      </c>
      <c r="L24" s="9" t="inlineStr">
        <is>
          <t>no</t>
        </is>
      </c>
      <c r="M24" s="9" t="inlineStr">
        <is>
          <t>low</t>
        </is>
      </c>
      <c r="N24" s="9" t="inlineStr">
        <is>
          <t>no</t>
        </is>
      </c>
      <c r="O24" s="9" t="inlineStr">
        <is>
          <t>mani_pedi</t>
        </is>
      </c>
      <c r="P24" s="9" t="inlineStr"/>
      <c r="Q24" s="9" t="n">
        <v>0</v>
      </c>
      <c r="R24" s="59" t="inlineStr">
        <is>
          <t>Fake claims for free pedicure.</t>
        </is>
      </c>
      <c r="S24" s="9" t="inlineStr">
        <is>
          <t>price_clarity</t>
        </is>
      </c>
      <c r="T24" s="9" t="inlineStr">
        <is>
          <t>price_clarity</t>
        </is>
      </c>
      <c r="U24" s="59" t="inlineStr"/>
    </row>
    <row r="25">
      <c r="A25" s="9" t="n">
        <v>24</v>
      </c>
      <c r="B25" s="58" t="n">
        <v>46311</v>
      </c>
      <c r="C25" s="9" t="str">
        <f>TEXT(B25,"yyyy-mm")</f>
        <v>2026-10</v>
      </c>
      <c r="D25" s="9" t="n">
        <v>5</v>
      </c>
      <c r="E25" s="9" t="inlineStr">
        <is>
          <t>18.9.0</t>
        </is>
      </c>
      <c r="F25" s="59" t="inlineStr">
        <is>
          <t>Facial Pedicure Threading</t>
        </is>
      </c>
      <c r="G25" s="59" t="inlineStr">
        <is>
          <t>The job was very good. Products used for facial and pedicure are very effective. Thank you Yes Madam ❤️</t>
        </is>
      </c>
      <c r="H25" s="9" t="inlineStr">
        <is>
          <t>praise</t>
        </is>
      </c>
      <c r="I25" s="9" t="inlineStr">
        <is>
          <t>praise_service</t>
        </is>
      </c>
      <c r="J25" s="9" t="inlineStr"/>
      <c r="K25" s="9" t="inlineStr">
        <is>
          <t>no</t>
        </is>
      </c>
      <c r="L25" s="9" t="inlineStr">
        <is>
          <t>no</t>
        </is>
      </c>
      <c r="M25" s="9" t="inlineStr">
        <is>
          <t>none</t>
        </is>
      </c>
      <c r="N25" s="9" t="inlineStr">
        <is>
          <t>no</t>
        </is>
      </c>
      <c r="O25" s="9" t="inlineStr">
        <is>
          <t>multiple</t>
        </is>
      </c>
      <c r="P25" s="9" t="inlineStr"/>
      <c r="Q25" s="9" t="n">
        <v>0</v>
      </c>
      <c r="R25" s="59" t="inlineStr">
        <is>
          <t>The job was very good. Products used for facial and pedicure are very effective.</t>
        </is>
      </c>
      <c r="S25" s="9" t="inlineStr">
        <is>
          <t>praise</t>
        </is>
      </c>
      <c r="T25" s="9" t="inlineStr">
        <is>
          <t>praise</t>
        </is>
      </c>
      <c r="U25" s="59" t="inlineStr"/>
    </row>
    <row r="26">
      <c r="A26" s="9" t="n">
        <v>25</v>
      </c>
      <c r="B26" s="58" t="n">
        <v>46311</v>
      </c>
      <c r="C26" s="9" t="str">
        <f>TEXT(B26,"yyyy-mm")</f>
        <v>2026-10</v>
      </c>
      <c r="D26" s="9" t="n">
        <v>1</v>
      </c>
      <c r="E26" s="9" t="inlineStr">
        <is>
          <t>18.9.0</t>
        </is>
      </c>
      <c r="F26" s="59" t="inlineStr">
        <is>
          <t>App is not opening</t>
        </is>
      </c>
      <c r="G26" s="59" t="inlineStr">
        <is>
          <t>App is not opening</t>
        </is>
      </c>
      <c r="H26" s="9" t="inlineStr">
        <is>
          <t>app</t>
        </is>
      </c>
      <c r="I26" s="9" t="inlineStr">
        <is>
          <t>crash_or_wont_open</t>
        </is>
      </c>
      <c r="J26" s="9" t="inlineStr"/>
      <c r="K26" s="9" t="inlineStr">
        <is>
          <t>no</t>
        </is>
      </c>
      <c r="L26" s="9" t="inlineStr">
        <is>
          <t>no</t>
        </is>
      </c>
      <c r="M26" s="9" t="inlineStr">
        <is>
          <t>low</t>
        </is>
      </c>
      <c r="N26" s="9" t="inlineStr">
        <is>
          <t>no</t>
        </is>
      </c>
      <c r="O26" s="9" t="inlineStr">
        <is>
          <t>unknown</t>
        </is>
      </c>
      <c r="P26" s="9" t="inlineStr"/>
      <c r="Q26" s="9" t="n">
        <v>0</v>
      </c>
      <c r="R26" s="59" t="inlineStr">
        <is>
          <t>App is not opening</t>
        </is>
      </c>
      <c r="S26" s="9" t="inlineStr">
        <is>
          <t>app</t>
        </is>
      </c>
      <c r="T26" s="9" t="inlineStr">
        <is>
          <t>app</t>
        </is>
      </c>
      <c r="U26" s="59" t="inlineStr"/>
    </row>
    <row r="27">
      <c r="A27" s="9" t="n">
        <v>26</v>
      </c>
      <c r="B27" s="58" t="n">
        <v>46311</v>
      </c>
      <c r="C27" s="9" t="str">
        <f>TEXT(B27,"yyyy-mm")</f>
        <v>2026-10</v>
      </c>
      <c r="D27" s="9" t="n">
        <v>1</v>
      </c>
      <c r="E27" s="9" t="inlineStr">
        <is>
          <t>18.9.0</t>
        </is>
      </c>
      <c r="F27" s="59" t="inlineStr">
        <is>
          <t>Not reliable</t>
        </is>
      </c>
      <c r="G27" s="59" t="inlineStr">
        <is>
          <t>Not a great experience. Twice professionals didn’t show up. No cancellations, no notice, just plain didn’t show up. And everytime customer service had the same thing to say. « Sorry it won’t happen next time. » I don’t think the apps a good option if you have a fixed schedule or if your a working women.</t>
        </is>
      </c>
      <c r="H27" s="9" t="inlineStr">
        <is>
          <t>partner_cancellation</t>
        </is>
      </c>
      <c r="I27" s="9" t="inlineStr">
        <is>
          <t>no_show</t>
        </is>
      </c>
      <c r="J27" s="9" t="inlineStr">
        <is>
          <t>support</t>
        </is>
      </c>
      <c r="K27" s="9" t="inlineStr">
        <is>
          <t>yes</t>
        </is>
      </c>
      <c r="L27" s="9" t="inlineStr">
        <is>
          <t>yes</t>
        </is>
      </c>
      <c r="M27" s="9" t="inlineStr">
        <is>
          <t>medium</t>
        </is>
      </c>
      <c r="N27" s="9" t="inlineStr">
        <is>
          <t>no</t>
        </is>
      </c>
      <c r="O27" s="9" t="inlineStr">
        <is>
          <t>unknown</t>
        </is>
      </c>
      <c r="P27" s="9" t="inlineStr"/>
      <c r="Q27" s="9" t="n">
        <v>0</v>
      </c>
      <c r="R27" s="59" t="inlineStr">
        <is>
          <t>Twice professionals didn’t show up. No cancellations, no notice, just plain didn’t show up.</t>
        </is>
      </c>
      <c r="S27" s="9" t="inlineStr">
        <is>
          <t>partner_cancellation</t>
        </is>
      </c>
      <c r="T27" s="9" t="inlineStr">
        <is>
          <t>partner_cancellation</t>
        </is>
      </c>
      <c r="U27" s="59" t="inlineStr"/>
    </row>
    <row r="28">
      <c r="A28" s="9" t="n">
        <v>27</v>
      </c>
      <c r="B28" s="58" t="n">
        <v>46311</v>
      </c>
      <c r="C28" s="9" t="str">
        <f>TEXT(B28,"yyyy-mm")</f>
        <v>2026-10</v>
      </c>
      <c r="D28" s="9" t="n">
        <v>5</v>
      </c>
      <c r="E28" s="9" t="inlineStr">
        <is>
          <t>18.9.0</t>
        </is>
      </c>
      <c r="F28" s="59" t="inlineStr">
        <is>
          <t>Sweet and well spoken</t>
        </is>
      </c>
      <c r="G28" s="59" t="inlineStr">
        <is>
          <t>Gave a soothing massage</t>
        </is>
      </c>
      <c r="H28" s="9" t="inlineStr">
        <is>
          <t>praise</t>
        </is>
      </c>
      <c r="I28" s="9" t="inlineStr">
        <is>
          <t>praise_professional</t>
        </is>
      </c>
      <c r="J28" s="9" t="inlineStr"/>
      <c r="K28" s="9" t="inlineStr">
        <is>
          <t>no</t>
        </is>
      </c>
      <c r="L28" s="9" t="inlineStr">
        <is>
          <t>no</t>
        </is>
      </c>
      <c r="M28" s="9" t="inlineStr">
        <is>
          <t>none</t>
        </is>
      </c>
      <c r="N28" s="9" t="inlineStr">
        <is>
          <t>no</t>
        </is>
      </c>
      <c r="O28" s="9" t="inlineStr">
        <is>
          <t>massage_spa</t>
        </is>
      </c>
      <c r="P28" s="9" t="inlineStr"/>
      <c r="Q28" s="9" t="n">
        <v>0</v>
      </c>
      <c r="R28" s="59" t="inlineStr">
        <is>
          <t>Sweet and well spoken | Gave a soothing massage</t>
        </is>
      </c>
      <c r="S28" s="9" t="inlineStr">
        <is>
          <t>praise</t>
        </is>
      </c>
      <c r="T28" s="9" t="inlineStr">
        <is>
          <t>praise</t>
        </is>
      </c>
      <c r="U28" s="59" t="inlineStr"/>
    </row>
    <row r="29">
      <c r="A29" s="9" t="n">
        <v>28</v>
      </c>
      <c r="B29" s="58" t="n">
        <v>46311</v>
      </c>
      <c r="C29" s="9" t="str">
        <f>TEXT(B29,"yyyy-mm")</f>
        <v>2026-10</v>
      </c>
      <c r="D29" s="9" t="n">
        <v>5</v>
      </c>
      <c r="E29" s="9" t="inlineStr">
        <is>
          <t>18.9.0</t>
        </is>
      </c>
      <c r="F29" s="59" t="inlineStr">
        <is>
          <t>Wow service</t>
        </is>
      </c>
      <c r="G29" s="59" t="inlineStr">
        <is>
          <t>Excellent with every penny</t>
        </is>
      </c>
      <c r="H29" s="9" t="inlineStr">
        <is>
          <t>praise</t>
        </is>
      </c>
      <c r="I29" s="9" t="inlineStr">
        <is>
          <t>praise_value</t>
        </is>
      </c>
      <c r="J29" s="9" t="inlineStr"/>
      <c r="K29" s="9" t="inlineStr">
        <is>
          <t>no</t>
        </is>
      </c>
      <c r="L29" s="9" t="inlineStr">
        <is>
          <t>no</t>
        </is>
      </c>
      <c r="M29" s="9" t="inlineStr">
        <is>
          <t>none</t>
        </is>
      </c>
      <c r="N29" s="9" t="inlineStr">
        <is>
          <t>no</t>
        </is>
      </c>
      <c r="O29" s="9" t="inlineStr">
        <is>
          <t>unknown</t>
        </is>
      </c>
      <c r="P29" s="9" t="inlineStr"/>
      <c r="Q29" s="9" t="n">
        <v>0</v>
      </c>
      <c r="R29" s="59" t="inlineStr">
        <is>
          <t>Excellent with every penny</t>
        </is>
      </c>
      <c r="S29" s="9" t="inlineStr">
        <is>
          <t>praise</t>
        </is>
      </c>
      <c r="T29" s="9" t="inlineStr">
        <is>
          <t>praise</t>
        </is>
      </c>
      <c r="U29" s="59" t="inlineStr"/>
    </row>
    <row r="30">
      <c r="A30" s="9" t="n">
        <v>29</v>
      </c>
      <c r="B30" s="58" t="n">
        <v>46311</v>
      </c>
      <c r="C30" s="9" t="str">
        <f>TEXT(B30,"yyyy-mm")</f>
        <v>2026-10</v>
      </c>
      <c r="D30" s="9" t="n">
        <v>5</v>
      </c>
      <c r="E30" s="9" t="inlineStr">
        <is>
          <t>18.9.0</t>
        </is>
      </c>
      <c r="F30" s="59" t="inlineStr">
        <is>
          <t>A Big Thank You to [name] ❤</t>
        </is>
      </c>
      <c r="G30" s="59" t="inlineStr">
        <is>
          <t>Had such a lovely experience with Yes Madam’s salon-at-home service! I truly enjoyed the whole experience. It’s always nice to have someone who makes you feel comfortable and takes care of you so well. Looking forward to booking again!</t>
        </is>
      </c>
      <c r="H30" s="9" t="inlineStr">
        <is>
          <t>praise</t>
        </is>
      </c>
      <c r="I30" s="9" t="inlineStr">
        <is>
          <t>praise_professional</t>
        </is>
      </c>
      <c r="J30" s="9" t="inlineStr"/>
      <c r="K30" s="9" t="inlineStr">
        <is>
          <t>no</t>
        </is>
      </c>
      <c r="L30" s="9" t="inlineStr">
        <is>
          <t>no</t>
        </is>
      </c>
      <c r="M30" s="9" t="inlineStr">
        <is>
          <t>none</t>
        </is>
      </c>
      <c r="N30" s="9" t="inlineStr">
        <is>
          <t>no</t>
        </is>
      </c>
      <c r="O30" s="9" t="inlineStr">
        <is>
          <t>unknown</t>
        </is>
      </c>
      <c r="P30" s="9" t="inlineStr"/>
      <c r="Q30" s="9" t="n">
        <v>0</v>
      </c>
      <c r="R30" s="59" t="inlineStr">
        <is>
          <t>Had such a lovely experience with Yes Madam’s salon-at-home service! I truly enjoyed the whole experience.</t>
        </is>
      </c>
      <c r="S30" s="9" t="inlineStr">
        <is>
          <t>praise</t>
        </is>
      </c>
      <c r="T30" s="9" t="inlineStr">
        <is>
          <t>praise</t>
        </is>
      </c>
      <c r="U30" s="59" t="inlineStr"/>
    </row>
    <row r="31">
      <c r="A31" s="9" t="n">
        <v>30</v>
      </c>
      <c r="B31" s="58" t="n">
        <v>46311</v>
      </c>
      <c r="C31" s="9" t="str">
        <f>TEXT(B31,"yyyy-mm")</f>
        <v>2026-10</v>
      </c>
      <c r="D31" s="9" t="n">
        <v>1</v>
      </c>
      <c r="E31" s="9" t="inlineStr">
        <is>
          <t>18.9.0</t>
        </is>
      </c>
      <c r="F31" s="59" t="inlineStr">
        <is>
          <t>Fake Offers</t>
        </is>
      </c>
      <c r="G31" s="59" t="inlineStr">
        <is>
          <t>They are misleading customers with fake offers! They advertise a free pedicure offer starting at 1:00 PM, but by 1:01 PM, they claim the offer is already over. This is not the first time; they repeat the same thing every time. This feels like a complete scam and a way to fool customers. Very disappointing and unprofessional. Please stop making false promises just to attract customers!</t>
        </is>
      </c>
      <c r="H31" s="9" t="inlineStr">
        <is>
          <t>price_clarity</t>
        </is>
      </c>
      <c r="I31" s="9" t="inlineStr">
        <is>
          <t>offer_not_honoured</t>
        </is>
      </c>
      <c r="J31" s="9" t="inlineStr"/>
      <c r="K31" s="9" t="inlineStr">
        <is>
          <t>no</t>
        </is>
      </c>
      <c r="L31" s="9" t="inlineStr">
        <is>
          <t>no</t>
        </is>
      </c>
      <c r="M31" s="9" t="inlineStr">
        <is>
          <t>low</t>
        </is>
      </c>
      <c r="N31" s="9" t="inlineStr">
        <is>
          <t>no</t>
        </is>
      </c>
      <c r="O31" s="9" t="inlineStr">
        <is>
          <t>mani_pedi</t>
        </is>
      </c>
      <c r="P31" s="9" t="inlineStr"/>
      <c r="Q31" s="9" t="n">
        <v>0</v>
      </c>
      <c r="R31" s="59" t="inlineStr">
        <is>
          <t>They advertise a free pedicure offer starting at 1:00 PM, but by 1:01 PM, they claim the offer is already over.</t>
        </is>
      </c>
      <c r="S31" s="9" t="inlineStr">
        <is>
          <t>price_clarity</t>
        </is>
      </c>
      <c r="T31" s="9" t="inlineStr">
        <is>
          <t>price_clarity</t>
        </is>
      </c>
      <c r="U31" s="59" t="inlineStr"/>
    </row>
    <row r="32">
      <c r="A32" s="9" t="n">
        <v>31</v>
      </c>
      <c r="B32" s="58" t="n">
        <v>46310</v>
      </c>
      <c r="C32" s="9" t="str">
        <f>TEXT(B32,"yyyy-mm")</f>
        <v>2026-10</v>
      </c>
      <c r="D32" s="9" t="n">
        <v>1</v>
      </c>
      <c r="E32" s="9" t="inlineStr">
        <is>
          <t>18.9.0</t>
        </is>
      </c>
      <c r="F32" s="59" t="inlineStr">
        <is>
          <t>Worst experience -My skin got worst</t>
        </is>
      </c>
      <c r="G32" s="59" t="inlineStr">
        <is>
          <t>My order id is - [id]
I booked the korean waxing from yes madam after the procedure my skin started peeling , i got rashes all over my body and my skin started getting darker with the reactions , customer care team also not helping here , they dont accept the calls neither responding to me to solve my issue</t>
        </is>
      </c>
      <c r="H32" s="9" t="inlineStr">
        <is>
          <t>service_quality</t>
        </is>
      </c>
      <c r="I32" s="9" t="inlineStr">
        <is>
          <t>skin_injury_or_reaction</t>
        </is>
      </c>
      <c r="J32" s="9" t="inlineStr">
        <is>
          <t>support</t>
        </is>
      </c>
      <c r="K32" s="9" t="inlineStr">
        <is>
          <t>yes</t>
        </is>
      </c>
      <c r="L32" s="9" t="inlineStr">
        <is>
          <t>yes</t>
        </is>
      </c>
      <c r="M32" s="9" t="inlineStr">
        <is>
          <t>high</t>
        </is>
      </c>
      <c r="N32" s="9" t="inlineStr">
        <is>
          <t>no</t>
        </is>
      </c>
      <c r="O32" s="9" t="inlineStr">
        <is>
          <t>waxing</t>
        </is>
      </c>
      <c r="P32" s="9" t="inlineStr"/>
      <c r="Q32" s="9" t="n">
        <v>0</v>
      </c>
      <c r="R32" s="59" t="inlineStr">
        <is>
          <t>I booked the korean waxing from yes madam after the procedure my skin started peeling , i got rashes all over my body</t>
        </is>
      </c>
      <c r="S32" s="9" t="inlineStr">
        <is>
          <t>service_quality</t>
        </is>
      </c>
      <c r="T32" s="9" t="inlineStr">
        <is>
          <t>service_quality</t>
        </is>
      </c>
      <c r="U32" s="59" t="inlineStr"/>
    </row>
    <row r="33">
      <c r="A33" s="9" t="n">
        <v>32</v>
      </c>
      <c r="B33" s="58" t="n">
        <v>46310</v>
      </c>
      <c r="C33" s="9" t="str">
        <f>TEXT(B33,"yyyy-mm")</f>
        <v>2026-10</v>
      </c>
      <c r="D33" s="9" t="n">
        <v>4</v>
      </c>
      <c r="E33" s="9" t="inlineStr">
        <is>
          <t>18.9.0</t>
        </is>
      </c>
      <c r="F33" s="59" t="inlineStr">
        <is>
          <t>Korean mani pedi</t>
        </is>
      </c>
      <c r="G33" s="59" t="inlineStr">
        <is>
          <t>Plz increase the quantity of scrub … its too less for both hands and legs</t>
        </is>
      </c>
      <c r="H33" s="9" t="inlineStr">
        <is>
          <t>product_fit</t>
        </is>
      </c>
      <c r="I33" s="9" t="inlineStr">
        <is>
          <t>missing_or_wrong_products</t>
        </is>
      </c>
      <c r="J33" s="9" t="inlineStr"/>
      <c r="K33" s="9" t="inlineStr">
        <is>
          <t>no</t>
        </is>
      </c>
      <c r="L33" s="9" t="inlineStr">
        <is>
          <t>no</t>
        </is>
      </c>
      <c r="M33" s="9" t="inlineStr">
        <is>
          <t>low</t>
        </is>
      </c>
      <c r="N33" s="9" t="inlineStr">
        <is>
          <t>no</t>
        </is>
      </c>
      <c r="O33" s="9" t="inlineStr">
        <is>
          <t>mani_pedi</t>
        </is>
      </c>
      <c r="P33" s="9" t="inlineStr"/>
      <c r="Q33" s="9" t="n">
        <v>0</v>
      </c>
      <c r="R33" s="59" t="inlineStr">
        <is>
          <t>Plz increase the quantity of scrub … its too less for both hands and legs</t>
        </is>
      </c>
      <c r="S33" s="9" t="inlineStr">
        <is>
          <t>product_fit</t>
        </is>
      </c>
      <c r="T33" s="9" t="inlineStr">
        <is>
          <t>product_fit</t>
        </is>
      </c>
      <c r="U33" s="59" t="inlineStr"/>
    </row>
    <row r="34">
      <c r="A34" s="9" t="n">
        <v>33</v>
      </c>
      <c r="B34" s="58" t="n">
        <v>46310</v>
      </c>
      <c r="C34" s="9" t="str">
        <f>TEXT(B34,"yyyy-mm")</f>
        <v>2026-10</v>
      </c>
      <c r="D34" s="9" t="n">
        <v>5</v>
      </c>
      <c r="E34" s="9" t="inlineStr">
        <is>
          <t>18.9.0</t>
        </is>
      </c>
      <c r="F34" s="59" t="inlineStr">
        <is>
          <t>Great</t>
        </is>
      </c>
      <c r="G34" s="59" t="inlineStr">
        <is>
          <t>Good service</t>
        </is>
      </c>
      <c r="H34" s="9" t="inlineStr">
        <is>
          <t>praise</t>
        </is>
      </c>
      <c r="I34" s="9" t="inlineStr">
        <is>
          <t>praise_service</t>
        </is>
      </c>
      <c r="J34" s="9" t="inlineStr"/>
      <c r="K34" s="9" t="inlineStr">
        <is>
          <t>no</t>
        </is>
      </c>
      <c r="L34" s="9" t="inlineStr">
        <is>
          <t>no</t>
        </is>
      </c>
      <c r="M34" s="9" t="inlineStr">
        <is>
          <t>none</t>
        </is>
      </c>
      <c r="N34" s="9" t="inlineStr">
        <is>
          <t>no</t>
        </is>
      </c>
      <c r="O34" s="9" t="inlineStr">
        <is>
          <t>unknown</t>
        </is>
      </c>
      <c r="P34" s="9" t="inlineStr"/>
      <c r="Q34" s="9" t="n">
        <v>0</v>
      </c>
      <c r="R34" s="59" t="inlineStr">
        <is>
          <t>Good service</t>
        </is>
      </c>
      <c r="S34" s="9" t="inlineStr">
        <is>
          <t>praise</t>
        </is>
      </c>
      <c r="T34" s="9" t="inlineStr">
        <is>
          <t>praise</t>
        </is>
      </c>
      <c r="U34" s="59" t="inlineStr"/>
    </row>
    <row r="35">
      <c r="A35" s="9" t="n">
        <v>34</v>
      </c>
      <c r="B35" s="58" t="n">
        <v>46310</v>
      </c>
      <c r="C35" s="9" t="str">
        <f>TEXT(B35,"yyyy-mm")</f>
        <v>2026-10</v>
      </c>
      <c r="D35" s="9" t="n">
        <v>5</v>
      </c>
      <c r="E35" s="9" t="inlineStr">
        <is>
          <t>18.9.0</t>
        </is>
      </c>
      <c r="F35" s="59" t="inlineStr">
        <is>
          <t>.</t>
        </is>
      </c>
      <c r="G35" s="59" t="inlineStr">
        <is>
          <t>I had a wonderful experience with Yes Madam. [name] was very professional, polite, and friendly throughout the service. She did her work with great care and attention to detail, making sure I was comfortable and satisfied. I truly appreciate her dedication and excellent service. Thank you, [name], for making my experience so pleasant. I would definitely recommend Yes Madam to others!</t>
        </is>
      </c>
      <c r="H35" s="9" t="inlineStr">
        <is>
          <t>praise</t>
        </is>
      </c>
      <c r="I35" s="9" t="inlineStr">
        <is>
          <t>praise_professional</t>
        </is>
      </c>
      <c r="J35" s="9" t="inlineStr"/>
      <c r="K35" s="9" t="inlineStr">
        <is>
          <t>no</t>
        </is>
      </c>
      <c r="L35" s="9" t="inlineStr">
        <is>
          <t>no</t>
        </is>
      </c>
      <c r="M35" s="9" t="inlineStr">
        <is>
          <t>none</t>
        </is>
      </c>
      <c r="N35" s="9" t="inlineStr">
        <is>
          <t>no</t>
        </is>
      </c>
      <c r="O35" s="9" t="inlineStr">
        <is>
          <t>unknown</t>
        </is>
      </c>
      <c r="P35" s="9" t="inlineStr"/>
      <c r="Q35" s="9" t="n">
        <v>0</v>
      </c>
      <c r="R35" s="59" t="inlineStr">
        <is>
          <t>[name] was very professional, polite, and friendly throughout the service.</t>
        </is>
      </c>
      <c r="S35" s="9" t="inlineStr">
        <is>
          <t>praise</t>
        </is>
      </c>
      <c r="T35" s="9" t="inlineStr">
        <is>
          <t>praise</t>
        </is>
      </c>
      <c r="U35" s="59" t="inlineStr"/>
    </row>
    <row r="36">
      <c r="A36" s="9" t="n">
        <v>35</v>
      </c>
      <c r="B36" s="58" t="n">
        <v>46310</v>
      </c>
      <c r="C36" s="9" t="str">
        <f>TEXT(B36,"yyyy-mm")</f>
        <v>2026-10</v>
      </c>
      <c r="D36" s="9" t="n">
        <v>1</v>
      </c>
      <c r="E36" s="9" t="inlineStr">
        <is>
          <t>18.9.0</t>
        </is>
      </c>
      <c r="F36" s="59" t="inlineStr">
        <is>
          <t>Last 5 times service professionals have not arrived for service</t>
        </is>
      </c>
      <c r="G36" s="59" t="inlineStr">
        <is>
          <t>Service professional dont pick up or come to location. It has happened at least 5 times</t>
        </is>
      </c>
      <c r="H36" s="9" t="inlineStr">
        <is>
          <t>partner_cancellation</t>
        </is>
      </c>
      <c r="I36" s="9" t="inlineStr">
        <is>
          <t>no_show</t>
        </is>
      </c>
      <c r="J36" s="9" t="inlineStr"/>
      <c r="K36" s="9" t="inlineStr">
        <is>
          <t>no</t>
        </is>
      </c>
      <c r="L36" s="9" t="inlineStr">
        <is>
          <t>no</t>
        </is>
      </c>
      <c r="M36" s="9" t="inlineStr">
        <is>
          <t>medium</t>
        </is>
      </c>
      <c r="N36" s="9" t="inlineStr">
        <is>
          <t>no</t>
        </is>
      </c>
      <c r="O36" s="9" t="inlineStr">
        <is>
          <t>unknown</t>
        </is>
      </c>
      <c r="P36" s="9" t="inlineStr"/>
      <c r="Q36" s="9" t="n">
        <v>0</v>
      </c>
      <c r="R36" s="59" t="inlineStr">
        <is>
          <t>Service professional dont pick up or come to location. It has happened at least 5 times</t>
        </is>
      </c>
      <c r="S36" s="9" t="inlineStr">
        <is>
          <t>partner_cancellation</t>
        </is>
      </c>
      <c r="T36" s="9" t="inlineStr">
        <is>
          <t>partner_cancellation</t>
        </is>
      </c>
      <c r="U36" s="59" t="inlineStr"/>
    </row>
    <row r="37">
      <c r="A37" s="9" t="n">
        <v>36</v>
      </c>
      <c r="B37" s="58" t="n">
        <v>46310</v>
      </c>
      <c r="C37" s="9" t="str">
        <f>TEXT(B37,"yyyy-mm")</f>
        <v>2026-10</v>
      </c>
      <c r="D37" s="9" t="n">
        <v>5</v>
      </c>
      <c r="E37" s="9" t="inlineStr">
        <is>
          <t>18.9.0</t>
        </is>
      </c>
      <c r="F37" s="59" t="inlineStr">
        <is>
          <t>Easy and reliable</t>
        </is>
      </c>
      <c r="G37" s="59" t="inlineStr">
        <is>
          <t>The best app for home beauty service. My first time using this app and I’m satisfied; I’m happy that I don’t need to go to salon anymore- so boring, waste of time and gas. Definitely save my time and money and traffic stress</t>
        </is>
      </c>
      <c r="H37" s="9" t="inlineStr">
        <is>
          <t>praise</t>
        </is>
      </c>
      <c r="I37" s="9" t="inlineStr">
        <is>
          <t>praise_service</t>
        </is>
      </c>
      <c r="J37" s="9" t="inlineStr"/>
      <c r="K37" s="9" t="inlineStr">
        <is>
          <t>no</t>
        </is>
      </c>
      <c r="L37" s="9" t="inlineStr">
        <is>
          <t>no</t>
        </is>
      </c>
      <c r="M37" s="9" t="inlineStr">
        <is>
          <t>none</t>
        </is>
      </c>
      <c r="N37" s="9" t="inlineStr">
        <is>
          <t>no</t>
        </is>
      </c>
      <c r="O37" s="9" t="inlineStr">
        <is>
          <t>unknown</t>
        </is>
      </c>
      <c r="P37" s="9" t="inlineStr"/>
      <c r="Q37" s="9" t="n">
        <v>0</v>
      </c>
      <c r="R37" s="59" t="inlineStr">
        <is>
          <t>The best app for home beauty service. My first time using this app and I’m satisfied</t>
        </is>
      </c>
      <c r="S37" s="9" t="inlineStr">
        <is>
          <t>praise</t>
        </is>
      </c>
      <c r="T37" s="9" t="inlineStr">
        <is>
          <t>praise</t>
        </is>
      </c>
      <c r="U37" s="59" t="inlineStr"/>
    </row>
    <row r="38">
      <c r="A38" s="9" t="n">
        <v>37</v>
      </c>
      <c r="B38" s="58" t="n">
        <v>46310</v>
      </c>
      <c r="C38" s="9" t="str">
        <f>TEXT(B38,"yyyy-mm")</f>
        <v>2026-10</v>
      </c>
      <c r="D38" s="9" t="n">
        <v>1</v>
      </c>
      <c r="E38" s="9" t="inlineStr">
        <is>
          <t>18.9.0</t>
        </is>
      </c>
      <c r="F38" s="59" t="inlineStr">
        <is>
          <t>unprofessional company</t>
        </is>
      </c>
      <c r="G38" s="59" t="inlineStr">
        <is>
          <t>The complete package is visible on the customer’s app, but the professional’s app shows only 2–3 services instead of all 5–6. This creates confusion, and professionals become rude when we ask them to complete the full package. We have to unnecessarily contact customer care every time. Please fix this app issue. Very disappointing experience!</t>
        </is>
      </c>
      <c r="H38" s="9" t="inlineStr">
        <is>
          <t>app</t>
        </is>
      </c>
      <c r="I38" s="9" t="inlineStr">
        <is>
          <t>booking_or_checkout_bug</t>
        </is>
      </c>
      <c r="J38" s="9" t="inlineStr">
        <is>
          <t>service_quality, support</t>
        </is>
      </c>
      <c r="K38" s="9" t="inlineStr">
        <is>
          <t>yes</t>
        </is>
      </c>
      <c r="L38" s="9" t="inlineStr">
        <is>
          <t>no</t>
        </is>
      </c>
      <c r="M38" s="9" t="inlineStr">
        <is>
          <t>medium</t>
        </is>
      </c>
      <c r="N38" s="9" t="inlineStr">
        <is>
          <t>no</t>
        </is>
      </c>
      <c r="O38" s="9" t="inlineStr">
        <is>
          <t>multiple</t>
        </is>
      </c>
      <c r="P38" s="9" t="inlineStr"/>
      <c r="Q38" s="9" t="n">
        <v>0</v>
      </c>
      <c r="R38" s="59" t="inlineStr">
        <is>
          <t>The complete package is visible on the customer’s app, but the professional’s app shows only 2–3 services instead of all 5–6.</t>
        </is>
      </c>
      <c r="S38" s="9" t="inlineStr">
        <is>
          <t>app</t>
        </is>
      </c>
      <c r="T38" s="9" t="inlineStr">
        <is>
          <t>app</t>
        </is>
      </c>
      <c r="U38" s="59" t="inlineStr"/>
    </row>
    <row r="39">
      <c r="A39" s="9" t="n">
        <v>38</v>
      </c>
      <c r="B39" s="58" t="n">
        <v>46310</v>
      </c>
      <c r="C39" s="9" t="str">
        <f>TEXT(B39,"yyyy-mm")</f>
        <v>2026-10</v>
      </c>
      <c r="D39" s="9" t="n">
        <v>1</v>
      </c>
      <c r="E39" s="9" t="inlineStr">
        <is>
          <t>18.9.0</t>
        </is>
      </c>
      <c r="F39" s="59" t="inlineStr">
        <is>
          <t>Scamsters</t>
        </is>
      </c>
      <c r="G39" s="59" t="inlineStr">
        <is>
          <t>You guys are scamsters, no professional is trained, you just sending people at our place just to induce money from us and torturing us with pathetic services. Real scam tou are guys are doing</t>
        </is>
      </c>
      <c r="H39" s="9" t="inlineStr">
        <is>
          <t>service_quality</t>
        </is>
      </c>
      <c r="I39" s="9" t="inlineStr">
        <is>
          <t>poor_skill</t>
        </is>
      </c>
      <c r="J39" s="9" t="inlineStr"/>
      <c r="K39" s="9" t="inlineStr">
        <is>
          <t>no</t>
        </is>
      </c>
      <c r="L39" s="9" t="inlineStr">
        <is>
          <t>no</t>
        </is>
      </c>
      <c r="M39" s="9" t="inlineStr">
        <is>
          <t>medium</t>
        </is>
      </c>
      <c r="N39" s="9" t="inlineStr">
        <is>
          <t>no</t>
        </is>
      </c>
      <c r="O39" s="9" t="inlineStr">
        <is>
          <t>unknown</t>
        </is>
      </c>
      <c r="P39" s="9" t="inlineStr"/>
      <c r="Q39" s="9" t="n">
        <v>0</v>
      </c>
      <c r="R39" s="59" t="inlineStr">
        <is>
          <t>no professional is trained, you just sending people at our place just to induce money from us</t>
        </is>
      </c>
      <c r="S39" s="9" t="inlineStr">
        <is>
          <t>service_quality</t>
        </is>
      </c>
      <c r="T39" s="9" t="inlineStr">
        <is>
          <t>service_quality</t>
        </is>
      </c>
      <c r="U39" s="59" t="inlineStr"/>
    </row>
    <row r="40">
      <c r="A40" s="9" t="n">
        <v>39</v>
      </c>
      <c r="B40" s="58" t="n">
        <v>46310</v>
      </c>
      <c r="C40" s="9" t="str">
        <f>TEXT(B40,"yyyy-mm")</f>
        <v>2026-10</v>
      </c>
      <c r="D40" s="9" t="n">
        <v>1</v>
      </c>
      <c r="E40" s="9" t="inlineStr">
        <is>
          <t>18.9.0</t>
        </is>
      </c>
      <c r="F40" s="59" t="inlineStr">
        <is>
          <t>Bad service</t>
        </is>
      </c>
      <c r="G40" s="59" t="inlineStr">
        <is>
          <t>Very bad service and they give offers but when you click on them the service is unavailable. Never using it again.</t>
        </is>
      </c>
      <c r="H40" s="9" t="inlineStr">
        <is>
          <t>price_clarity</t>
        </is>
      </c>
      <c r="I40" s="9" t="inlineStr">
        <is>
          <t>offer_not_honoured</t>
        </is>
      </c>
      <c r="J40" s="9" t="inlineStr"/>
      <c r="K40" s="9" t="inlineStr">
        <is>
          <t>no</t>
        </is>
      </c>
      <c r="L40" s="9" t="inlineStr">
        <is>
          <t>no</t>
        </is>
      </c>
      <c r="M40" s="9" t="inlineStr">
        <is>
          <t>low</t>
        </is>
      </c>
      <c r="N40" s="9" t="inlineStr">
        <is>
          <t>yes</t>
        </is>
      </c>
      <c r="O40" s="9" t="inlineStr">
        <is>
          <t>unknown</t>
        </is>
      </c>
      <c r="P40" s="9" t="inlineStr"/>
      <c r="Q40" s="9" t="n">
        <v>0</v>
      </c>
      <c r="R40" s="59" t="inlineStr">
        <is>
          <t>they give offers but when you click on them the service is unavailable. Never using it again.</t>
        </is>
      </c>
      <c r="S40" s="9" t="inlineStr">
        <is>
          <t>price_clarity</t>
        </is>
      </c>
      <c r="T40" s="9" t="inlineStr">
        <is>
          <t>price_clarity</t>
        </is>
      </c>
      <c r="U40" s="59" t="inlineStr"/>
    </row>
    <row r="41">
      <c r="A41" s="9" t="n">
        <v>40</v>
      </c>
      <c r="B41" s="58" t="n">
        <v>46309</v>
      </c>
      <c r="C41" s="9" t="str">
        <f>TEXT(B41,"yyyy-mm")</f>
        <v>2026-10</v>
      </c>
      <c r="D41" s="9" t="n">
        <v>1</v>
      </c>
      <c r="E41" s="9" t="inlineStr">
        <is>
          <t>18.9.0</t>
        </is>
      </c>
      <c r="F41" s="59" t="inlineStr">
        <is>
          <t>App collapsing not able to open</t>
        </is>
      </c>
      <c r="G41" s="59" t="inlineStr">
        <is>
          <t>Today when I opened the app it asked to update. After updating whenever I’m trying to open it is collapsing continuously.</t>
        </is>
      </c>
      <c r="H41" s="9" t="inlineStr">
        <is>
          <t>app</t>
        </is>
      </c>
      <c r="I41" s="9" t="inlineStr">
        <is>
          <t>crash_or_wont_open</t>
        </is>
      </c>
      <c r="J41" s="9" t="inlineStr"/>
      <c r="K41" s="9" t="inlineStr">
        <is>
          <t>no</t>
        </is>
      </c>
      <c r="L41" s="9" t="inlineStr">
        <is>
          <t>no</t>
        </is>
      </c>
      <c r="M41" s="9" t="inlineStr">
        <is>
          <t>low</t>
        </is>
      </c>
      <c r="N41" s="9" t="inlineStr">
        <is>
          <t>no</t>
        </is>
      </c>
      <c r="O41" s="9" t="inlineStr">
        <is>
          <t>unknown</t>
        </is>
      </c>
      <c r="P41" s="9" t="inlineStr"/>
      <c r="Q41" s="9" t="n">
        <v>0</v>
      </c>
      <c r="R41" s="59" t="inlineStr">
        <is>
          <t>After updating whenever I’m trying to open it is collapsing continuously.</t>
        </is>
      </c>
      <c r="S41" s="9" t="inlineStr">
        <is>
          <t>app</t>
        </is>
      </c>
      <c r="T41" s="9" t="inlineStr">
        <is>
          <t>app</t>
        </is>
      </c>
      <c r="U41" s="59" t="inlineStr"/>
    </row>
    <row r="42">
      <c r="A42" s="9" t="n">
        <v>41</v>
      </c>
      <c r="B42" s="58" t="n">
        <v>46308</v>
      </c>
      <c r="C42" s="9" t="str">
        <f>TEXT(B42,"yyyy-mm")</f>
        <v>2026-10</v>
      </c>
      <c r="D42" s="9" t="n">
        <v>1</v>
      </c>
      <c r="E42" s="9" t="inlineStr">
        <is>
          <t>18.9.0</t>
        </is>
      </c>
      <c r="F42" s="59" t="inlineStr">
        <is>
          <t>I burnt my arms</t>
        </is>
      </c>
      <c r="G42" s="59" t="inlineStr">
        <is>
          <t>Worst service ever. After the service, I got burned on my hand after my waxing, and customer support said they'd give me a 400 free coupon. What do I do with my hand now? It’s been two weeks now, and my HAND is still burning. I still remember how she pitched. Yes, Madam, on Shark Tank, she said she got a skin infection after the service, and then she launched YES Madam. Look at what the company is doing now.</t>
        </is>
      </c>
      <c r="H42" s="9" t="inlineStr">
        <is>
          <t>service_quality</t>
        </is>
      </c>
      <c r="I42" s="9" t="inlineStr">
        <is>
          <t>skin_injury_or_reaction</t>
        </is>
      </c>
      <c r="J42" s="9" t="inlineStr">
        <is>
          <t>support</t>
        </is>
      </c>
      <c r="K42" s="9" t="inlineStr">
        <is>
          <t>yes</t>
        </is>
      </c>
      <c r="L42" s="9" t="inlineStr">
        <is>
          <t>yes</t>
        </is>
      </c>
      <c r="M42" s="9" t="inlineStr">
        <is>
          <t>high</t>
        </is>
      </c>
      <c r="N42" s="9" t="inlineStr">
        <is>
          <t>no</t>
        </is>
      </c>
      <c r="O42" s="9" t="inlineStr">
        <is>
          <t>waxing</t>
        </is>
      </c>
      <c r="P42" s="9" t="inlineStr"/>
      <c r="Q42" s="9" t="n">
        <v>400</v>
      </c>
      <c r="R42" s="59" t="inlineStr">
        <is>
          <t>After the service, I got burned on my hand after my waxing, and customer support said they'd give me a 400 free coupon.</t>
        </is>
      </c>
      <c r="S42" s="9" t="inlineStr">
        <is>
          <t>service_quality</t>
        </is>
      </c>
      <c r="T42" s="9" t="inlineStr">
        <is>
          <t>service_quality</t>
        </is>
      </c>
      <c r="U42" s="59" t="inlineStr"/>
    </row>
    <row r="43">
      <c r="A43" s="9" t="n">
        <v>42</v>
      </c>
      <c r="B43" s="58" t="n">
        <v>46308</v>
      </c>
      <c r="C43" s="9" t="str">
        <f>TEXT(B43,"yyyy-mm")</f>
        <v>2026-10</v>
      </c>
      <c r="D43" s="9" t="n">
        <v>5</v>
      </c>
      <c r="E43" s="9" t="inlineStr">
        <is>
          <t>18.9.0</t>
        </is>
      </c>
      <c r="F43" s="59" t="inlineStr">
        <is>
          <t>Good &amp; satisfaction service by the app</t>
        </is>
      </c>
      <c r="G43" s="59" t="inlineStr">
        <is>
          <t>Overall happy with service on-time. Salon like service at home</t>
        </is>
      </c>
      <c r="H43" s="9" t="inlineStr">
        <is>
          <t>praise</t>
        </is>
      </c>
      <c r="I43" s="9" t="inlineStr">
        <is>
          <t>praise_service</t>
        </is>
      </c>
      <c r="J43" s="9" t="inlineStr"/>
      <c r="K43" s="9" t="inlineStr">
        <is>
          <t>no</t>
        </is>
      </c>
      <c r="L43" s="9" t="inlineStr">
        <is>
          <t>no</t>
        </is>
      </c>
      <c r="M43" s="9" t="inlineStr">
        <is>
          <t>none</t>
        </is>
      </c>
      <c r="N43" s="9" t="inlineStr">
        <is>
          <t>no</t>
        </is>
      </c>
      <c r="O43" s="9" t="inlineStr">
        <is>
          <t>unknown</t>
        </is>
      </c>
      <c r="P43" s="9" t="inlineStr"/>
      <c r="Q43" s="9" t="n">
        <v>0</v>
      </c>
      <c r="R43" s="59" t="inlineStr">
        <is>
          <t>Overall happy with service on-time. Salon like service at home</t>
        </is>
      </c>
      <c r="S43" s="9" t="inlineStr">
        <is>
          <t>praise</t>
        </is>
      </c>
      <c r="T43" s="9" t="inlineStr">
        <is>
          <t>praise</t>
        </is>
      </c>
      <c r="U43" s="59" t="inlineStr"/>
    </row>
    <row r="44">
      <c r="A44" s="9" t="n">
        <v>43</v>
      </c>
      <c r="B44" s="58" t="n">
        <v>46308</v>
      </c>
      <c r="C44" s="9" t="str">
        <f>TEXT(B44,"yyyy-mm")</f>
        <v>2026-10</v>
      </c>
      <c r="D44" s="9" t="n">
        <v>5</v>
      </c>
      <c r="E44" s="9" t="inlineStr">
        <is>
          <t>18.9.0</t>
        </is>
      </c>
      <c r="F44" s="59" t="inlineStr">
        <is>
          <t>Best</t>
        </is>
      </c>
      <c r="G44" s="59" t="inlineStr">
        <is>
          <t>I love this app before I use salontym but Yesmadam seriously best</t>
        </is>
      </c>
      <c r="H44" s="9" t="inlineStr">
        <is>
          <t>praise</t>
        </is>
      </c>
      <c r="I44" s="9" t="inlineStr">
        <is>
          <t>praise_service</t>
        </is>
      </c>
      <c r="J44" s="9" t="inlineStr"/>
      <c r="K44" s="9" t="inlineStr">
        <is>
          <t>no</t>
        </is>
      </c>
      <c r="L44" s="9" t="inlineStr">
        <is>
          <t>no</t>
        </is>
      </c>
      <c r="M44" s="9" t="inlineStr">
        <is>
          <t>none</t>
        </is>
      </c>
      <c r="N44" s="9" t="inlineStr">
        <is>
          <t>no</t>
        </is>
      </c>
      <c r="O44" s="9" t="inlineStr">
        <is>
          <t>unknown</t>
        </is>
      </c>
      <c r="P44" s="9" t="inlineStr"/>
      <c r="Q44" s="9" t="n">
        <v>0</v>
      </c>
      <c r="R44" s="59" t="inlineStr">
        <is>
          <t>I love this app before I use salontym but Yesmadam seriously best</t>
        </is>
      </c>
      <c r="S44" s="9" t="inlineStr">
        <is>
          <t>praise</t>
        </is>
      </c>
      <c r="T44" s="9" t="inlineStr">
        <is>
          <t>praise</t>
        </is>
      </c>
      <c r="U44" s="59" t="inlineStr"/>
    </row>
    <row r="45">
      <c r="A45" s="9" t="n">
        <v>44</v>
      </c>
      <c r="B45" s="58" t="n">
        <v>46308</v>
      </c>
      <c r="C45" s="9" t="str">
        <f>TEXT(B45,"yyyy-mm")</f>
        <v>2026-10</v>
      </c>
      <c r="D45" s="9" t="n">
        <v>5</v>
      </c>
      <c r="E45" s="9" t="inlineStr">
        <is>
          <t>18.9.0</t>
        </is>
      </c>
      <c r="F45" s="59" t="inlineStr">
        <is>
          <t>Spa</t>
        </is>
      </c>
      <c r="G45" s="59" t="inlineStr">
        <is>
          <t>Pleasantly surprised by the excellent service provided by Yes Madam. 
Happy to recommend the home spa service.</t>
        </is>
      </c>
      <c r="H45" s="9" t="inlineStr">
        <is>
          <t>praise</t>
        </is>
      </c>
      <c r="I45" s="9" t="inlineStr">
        <is>
          <t>praise_service</t>
        </is>
      </c>
      <c r="J45" s="9" t="inlineStr"/>
      <c r="K45" s="9" t="inlineStr">
        <is>
          <t>no</t>
        </is>
      </c>
      <c r="L45" s="9" t="inlineStr">
        <is>
          <t>no</t>
        </is>
      </c>
      <c r="M45" s="9" t="inlineStr">
        <is>
          <t>none</t>
        </is>
      </c>
      <c r="N45" s="9" t="inlineStr">
        <is>
          <t>no</t>
        </is>
      </c>
      <c r="O45" s="9" t="inlineStr">
        <is>
          <t>massage_spa</t>
        </is>
      </c>
      <c r="P45" s="9" t="inlineStr"/>
      <c r="Q45" s="9" t="n">
        <v>0</v>
      </c>
      <c r="R45" s="59" t="inlineStr">
        <is>
          <t>Pleasantly surprised by the excellent service provided by Yes Madam. Happy to recommend the home spa service.</t>
        </is>
      </c>
      <c r="S45" s="9" t="inlineStr">
        <is>
          <t>praise</t>
        </is>
      </c>
      <c r="T45" s="9" t="inlineStr">
        <is>
          <t>praise</t>
        </is>
      </c>
      <c r="U45" s="59" t="inlineStr"/>
    </row>
    <row r="46">
      <c r="A46" s="9" t="n">
        <v>45</v>
      </c>
      <c r="B46" s="58" t="n">
        <v>46308</v>
      </c>
      <c r="C46" s="9" t="str">
        <f>TEXT(B46,"yyyy-mm")</f>
        <v>2026-10</v>
      </c>
      <c r="D46" s="9" t="n">
        <v>5</v>
      </c>
      <c r="E46" s="9" t="inlineStr">
        <is>
          <t>18.9.0</t>
        </is>
      </c>
      <c r="F46" s="59" t="inlineStr">
        <is>
          <t>Body message</t>
        </is>
      </c>
      <c r="G46" s="59" t="inlineStr">
        <is>
          <t>Awesome service [name] madam is so friendly and polite</t>
        </is>
      </c>
      <c r="H46" s="9" t="inlineStr">
        <is>
          <t>praise</t>
        </is>
      </c>
      <c r="I46" s="9" t="inlineStr">
        <is>
          <t>praise_professional</t>
        </is>
      </c>
      <c r="J46" s="9" t="inlineStr"/>
      <c r="K46" s="9" t="inlineStr">
        <is>
          <t>no</t>
        </is>
      </c>
      <c r="L46" s="9" t="inlineStr">
        <is>
          <t>no</t>
        </is>
      </c>
      <c r="M46" s="9" t="inlineStr">
        <is>
          <t>none</t>
        </is>
      </c>
      <c r="N46" s="9" t="inlineStr">
        <is>
          <t>no</t>
        </is>
      </c>
      <c r="O46" s="9" t="inlineStr">
        <is>
          <t>massage_spa</t>
        </is>
      </c>
      <c r="P46" s="9" t="inlineStr"/>
      <c r="Q46" s="9" t="n">
        <v>0</v>
      </c>
      <c r="R46" s="59" t="inlineStr">
        <is>
          <t>Awesome service [name] madam is so friendly and polite</t>
        </is>
      </c>
      <c r="S46" s="9" t="inlineStr">
        <is>
          <t>praise</t>
        </is>
      </c>
      <c r="T46" s="9" t="inlineStr">
        <is>
          <t>praise</t>
        </is>
      </c>
      <c r="U46" s="59" t="inlineStr"/>
    </row>
    <row r="47">
      <c r="A47" s="9" t="n">
        <v>46</v>
      </c>
      <c r="B47" s="58" t="n">
        <v>46308</v>
      </c>
      <c r="C47" s="9" t="str">
        <f>TEXT(B47,"yyyy-mm")</f>
        <v>2026-10</v>
      </c>
      <c r="D47" s="9" t="n">
        <v>5</v>
      </c>
      <c r="E47" s="9" t="inlineStr">
        <is>
          <t>18.9.0</t>
        </is>
      </c>
      <c r="F47" s="59" t="inlineStr">
        <is>
          <t>Mr. Perfect</t>
        </is>
      </c>
      <c r="G47" s="59" t="inlineStr">
        <is>
          <t>Too polite and understands the problem of the customer like a doctor and does his work accordingly. Cheers bro.</t>
        </is>
      </c>
      <c r="H47" s="9" t="inlineStr">
        <is>
          <t>praise</t>
        </is>
      </c>
      <c r="I47" s="9" t="inlineStr">
        <is>
          <t>praise_professional</t>
        </is>
      </c>
      <c r="J47" s="9" t="inlineStr"/>
      <c r="K47" s="9" t="inlineStr">
        <is>
          <t>no</t>
        </is>
      </c>
      <c r="L47" s="9" t="inlineStr">
        <is>
          <t>no</t>
        </is>
      </c>
      <c r="M47" s="9" t="inlineStr">
        <is>
          <t>none</t>
        </is>
      </c>
      <c r="N47" s="9" t="inlineStr">
        <is>
          <t>no</t>
        </is>
      </c>
      <c r="O47" s="9" t="inlineStr">
        <is>
          <t>unknown</t>
        </is>
      </c>
      <c r="P47" s="9" t="inlineStr"/>
      <c r="Q47" s="9" t="n">
        <v>0</v>
      </c>
      <c r="R47" s="59" t="inlineStr">
        <is>
          <t>Too polite and understands the problem of the customer like a doctor and does his work accordingly.</t>
        </is>
      </c>
      <c r="S47" s="9" t="inlineStr">
        <is>
          <t>praise</t>
        </is>
      </c>
      <c r="T47" s="9" t="inlineStr">
        <is>
          <t>praise</t>
        </is>
      </c>
      <c r="U47" s="59" t="inlineStr"/>
    </row>
    <row r="48">
      <c r="A48" s="9" t="n">
        <v>47</v>
      </c>
      <c r="B48" s="58" t="n">
        <v>46308</v>
      </c>
      <c r="C48" s="9" t="str">
        <f>TEXT(B48,"yyyy-mm")</f>
        <v>2026-10</v>
      </c>
      <c r="D48" s="9" t="n">
        <v>5</v>
      </c>
      <c r="E48" s="9" t="inlineStr">
        <is>
          <t>18.9.0</t>
        </is>
      </c>
      <c r="F48" s="59" t="inlineStr">
        <is>
          <t>Value for money</t>
        </is>
      </c>
      <c r="G48" s="59" t="inlineStr">
        <is>
          <t>It’s really great experience of your service and product quality are very good.</t>
        </is>
      </c>
      <c r="H48" s="9" t="inlineStr">
        <is>
          <t>praise</t>
        </is>
      </c>
      <c r="I48" s="9" t="inlineStr">
        <is>
          <t>praise_value</t>
        </is>
      </c>
      <c r="J48" s="9" t="inlineStr"/>
      <c r="K48" s="9" t="inlineStr">
        <is>
          <t>no</t>
        </is>
      </c>
      <c r="L48" s="9" t="inlineStr">
        <is>
          <t>no</t>
        </is>
      </c>
      <c r="M48" s="9" t="inlineStr">
        <is>
          <t>none</t>
        </is>
      </c>
      <c r="N48" s="9" t="inlineStr">
        <is>
          <t>no</t>
        </is>
      </c>
      <c r="O48" s="9" t="inlineStr">
        <is>
          <t>unknown</t>
        </is>
      </c>
      <c r="P48" s="9" t="inlineStr"/>
      <c r="Q48" s="9" t="n">
        <v>0</v>
      </c>
      <c r="R48" s="59" t="inlineStr">
        <is>
          <t>It’s really great experience of your service and product quality are very good.</t>
        </is>
      </c>
      <c r="S48" s="9" t="inlineStr">
        <is>
          <t>praise</t>
        </is>
      </c>
      <c r="T48" s="9" t="inlineStr">
        <is>
          <t>praise</t>
        </is>
      </c>
      <c r="U48" s="59" t="inlineStr"/>
    </row>
    <row r="49">
      <c r="A49" s="9" t="n">
        <v>48</v>
      </c>
      <c r="B49" s="58" t="n">
        <v>46308</v>
      </c>
      <c r="C49" s="9" t="str">
        <f>TEXT(B49,"yyyy-mm")</f>
        <v>2026-10</v>
      </c>
      <c r="D49" s="9" t="n">
        <v>1</v>
      </c>
      <c r="E49" s="9" t="inlineStr">
        <is>
          <t>18.9.0</t>
        </is>
      </c>
      <c r="F49" s="59" t="inlineStr">
        <is>
          <t>Fake scheme of free pedicure at 1pm</t>
        </is>
      </c>
      <c r="G49" s="59" t="inlineStr">
        <is>
          <t>Common guys be real why to fool people who trust the company blindly if you don’t want to give free service than don’t give don’t fool us me my friends tried everyday at 1 .. but it’s all fake</t>
        </is>
      </c>
      <c r="H49" s="9" t="inlineStr">
        <is>
          <t>price_clarity</t>
        </is>
      </c>
      <c r="I49" s="9" t="inlineStr">
        <is>
          <t>offer_not_honoured</t>
        </is>
      </c>
      <c r="J49" s="9" t="inlineStr"/>
      <c r="K49" s="9" t="inlineStr">
        <is>
          <t>no</t>
        </is>
      </c>
      <c r="L49" s="9" t="inlineStr">
        <is>
          <t>no</t>
        </is>
      </c>
      <c r="M49" s="9" t="inlineStr">
        <is>
          <t>low</t>
        </is>
      </c>
      <c r="N49" s="9" t="inlineStr">
        <is>
          <t>no</t>
        </is>
      </c>
      <c r="O49" s="9" t="inlineStr">
        <is>
          <t>mani_pedi</t>
        </is>
      </c>
      <c r="P49" s="9" t="inlineStr"/>
      <c r="Q49" s="9" t="n">
        <v>0</v>
      </c>
      <c r="R49" s="59" t="inlineStr">
        <is>
          <t>if you don’t want to give free service than don’t give don’t fool us</t>
        </is>
      </c>
      <c r="S49" s="9" t="inlineStr">
        <is>
          <t>price_clarity</t>
        </is>
      </c>
      <c r="T49" s="9" t="inlineStr">
        <is>
          <t>price_clarity</t>
        </is>
      </c>
      <c r="U49" s="59" t="inlineStr"/>
    </row>
    <row r="50">
      <c r="A50" s="9" t="n">
        <v>49</v>
      </c>
      <c r="B50" s="58" t="n">
        <v>46307</v>
      </c>
      <c r="C50" s="9" t="str">
        <f>TEXT(B50,"yyyy-mm")</f>
        <v>2026-10</v>
      </c>
      <c r="D50" s="9" t="n">
        <v>5</v>
      </c>
      <c r="E50" s="9" t="inlineStr">
        <is>
          <t>18.9.0</t>
        </is>
      </c>
      <c r="F50" s="59" t="inlineStr">
        <is>
          <t>Bad app</t>
        </is>
      </c>
      <c r="G50" s="59" t="inlineStr">
        <is>
          <t>I am not able to open app and no option to reach CS</t>
        </is>
      </c>
      <c r="H50" s="9" t="inlineStr">
        <is>
          <t>app</t>
        </is>
      </c>
      <c r="I50" s="9" t="inlineStr">
        <is>
          <t>crash_or_wont_open</t>
        </is>
      </c>
      <c r="J50" s="9" t="inlineStr">
        <is>
          <t>support</t>
        </is>
      </c>
      <c r="K50" s="9" t="inlineStr">
        <is>
          <t>no</t>
        </is>
      </c>
      <c r="L50" s="9" t="inlineStr">
        <is>
          <t>no</t>
        </is>
      </c>
      <c r="M50" s="9" t="inlineStr">
        <is>
          <t>low</t>
        </is>
      </c>
      <c r="N50" s="9" t="inlineStr">
        <is>
          <t>no</t>
        </is>
      </c>
      <c r="O50" s="9" t="inlineStr">
        <is>
          <t>unknown</t>
        </is>
      </c>
      <c r="P50" s="9" t="inlineStr"/>
      <c r="Q50" s="9" t="n">
        <v>0</v>
      </c>
      <c r="R50" s="59" t="inlineStr">
        <is>
          <t>I am not able to open app and no option to reach CS</t>
        </is>
      </c>
      <c r="S50" s="9" t="inlineStr">
        <is>
          <t>app</t>
        </is>
      </c>
      <c r="T50" s="9" t="inlineStr">
        <is>
          <t>app</t>
        </is>
      </c>
      <c r="U50" s="59" t="inlineStr"/>
    </row>
    <row r="51">
      <c r="A51" s="9" t="n">
        <v>50</v>
      </c>
      <c r="B51" s="58" t="n">
        <v>46307</v>
      </c>
      <c r="C51" s="9" t="str">
        <f>TEXT(B51,"yyyy-mm")</f>
        <v>2026-10</v>
      </c>
      <c r="D51" s="9" t="n">
        <v>1</v>
      </c>
      <c r="E51" s="9" t="inlineStr">
        <is>
          <t>18.9.0</t>
        </is>
      </c>
      <c r="F51" s="59" t="inlineStr">
        <is>
          <t>Extremely Disappointing First Experience – Painful Waxing, Skin Damage &amp; Unprofessional Service</t>
        </is>
      </c>
      <c r="G51" s="59" t="inlineStr">
        <is>
          <t>This was my first booking with Yes Madam, and unfortunately, it turned out to be my worst salon experience. I booked my service for 7 PM, but the professional, [name], arrived in a hurry and seemed more interested in finishing the service quickly than providing proper care. Her approach was far from professional, and the entire experience felt no better than getting waxing done at a local parlour, despite booking through a professional service platform.
The waxing process was extremely harsh and painful, and my skin actually peeled off during the process. Even after 15 days, I still have a visible scar on my skin. This is completely unacceptable and raises serious concerns about the technique used, the care taken during the service, and the professional’s handling of sensitive skin.
My eyebrows were also not shaped properly and were left uneven, which was another disappointment.
What made the experience even worse was the handling of the products. The app clearly mentions that any remaining or unused products will be handed over to the customer. However, the professional did not use the Sokora scrub or lotion. When I asked about the scrub, she said that using it would cause my skin to peel. After waxing, she did not apply any lotion either. Despite not using these products, she refused to hand them over, saying that only the wax had been used.
This raises a genuine concern: if the products were not used, why were they not handed over as promised in the app? The service did not match the expectations set by the platform.
What I find particularly surprising is that this professional has a 4.8 rating on Yes Madam. After such a painful and disappointing experience, I genuinely question how accurately the ratings and reviews reflect the quality of service customers actually receive. I cannot say whether the reviews are genuine, but my personal experience was completely inconsistent with the rating.
A professional beauty service should prioritise hygiene, proper technique, customer comfort, and skin safety—not rush through a booking. I paid for a professional service and ended up with an uneven eyebrow shape, an extremely painful waxing experience, and a scar that is still visible after 15 days.
I would not recommend Yes Madam based on this experience. My first booking has left me extremely disappointed, and I have lost confidence in the quality control of the platform. I hope Yes Madam takes customer complaints seriously, investigates such incidents, and ensures that its professionals follow proper procedures and the product-handling policy mentioned in the app.</t>
        </is>
      </c>
      <c r="H51" s="9" t="inlineStr">
        <is>
          <t>service_quality</t>
        </is>
      </c>
      <c r="I51" s="9" t="inlineStr">
        <is>
          <t>skin_injury_or_reaction</t>
        </is>
      </c>
      <c r="J51" s="9" t="inlineStr">
        <is>
          <t>product_fit</t>
        </is>
      </c>
      <c r="K51" s="9" t="inlineStr">
        <is>
          <t>no</t>
        </is>
      </c>
      <c r="L51" s="9" t="inlineStr">
        <is>
          <t>no</t>
        </is>
      </c>
      <c r="M51" s="9" t="inlineStr">
        <is>
          <t>high</t>
        </is>
      </c>
      <c r="N51" s="9" t="inlineStr">
        <is>
          <t>no</t>
        </is>
      </c>
      <c r="O51" s="9" t="inlineStr">
        <is>
          <t>multiple</t>
        </is>
      </c>
      <c r="P51" s="9" t="inlineStr"/>
      <c r="Q51" s="9" t="n">
        <v>0</v>
      </c>
      <c r="R51" s="59" t="inlineStr">
        <is>
          <t>The waxing process was extremely harsh and painful, and my skin actually peeled off during the process.</t>
        </is>
      </c>
      <c r="S51" s="9" t="inlineStr">
        <is>
          <t>service_quality</t>
        </is>
      </c>
      <c r="T51" s="9" t="inlineStr">
        <is>
          <t>service_quality</t>
        </is>
      </c>
      <c r="U51" s="59" t="inlineStr"/>
    </row>
    <row r="52">
      <c r="A52" s="9" t="n">
        <v>51</v>
      </c>
      <c r="B52" s="58" t="n">
        <v>46307</v>
      </c>
      <c r="C52" s="9" t="str">
        <f>TEXT(B52,"yyyy-mm")</f>
        <v>2026-10</v>
      </c>
      <c r="D52" s="9" t="n">
        <v>3</v>
      </c>
      <c r="E52" s="9" t="inlineStr">
        <is>
          <t>18.9.0</t>
        </is>
      </c>
      <c r="F52" s="59" t="inlineStr">
        <is>
          <t>So so service</t>
        </is>
      </c>
      <c r="G52" s="59" t="inlineStr">
        <is>
          <t>Waxing is good but the so called korean facial and hydra facials are  of their of own company. I got pimples when i had o3 facial though i am regular user of O3+. And no results when i had hydra facial no glow no detanned skin</t>
        </is>
      </c>
      <c r="H52" s="9" t="inlineStr">
        <is>
          <t>product_fit</t>
        </is>
      </c>
      <c r="I52" s="9" t="inlineStr">
        <is>
          <t>product_reaction</t>
        </is>
      </c>
      <c r="J52" s="9" t="inlineStr"/>
      <c r="K52" s="9" t="inlineStr">
        <is>
          <t>no</t>
        </is>
      </c>
      <c r="L52" s="9" t="inlineStr">
        <is>
          <t>no</t>
        </is>
      </c>
      <c r="M52" s="9" t="inlineStr">
        <is>
          <t>high</t>
        </is>
      </c>
      <c r="N52" s="9" t="inlineStr">
        <is>
          <t>no</t>
        </is>
      </c>
      <c r="O52" s="9" t="inlineStr">
        <is>
          <t>facial_cleanup</t>
        </is>
      </c>
      <c r="P52" s="9" t="inlineStr"/>
      <c r="Q52" s="9" t="n">
        <v>0</v>
      </c>
      <c r="R52" s="59" t="inlineStr">
        <is>
          <t>I got pimples when i had o3 facial though i am regular user of O3+.</t>
        </is>
      </c>
      <c r="S52" s="9" t="inlineStr">
        <is>
          <t>product_fit</t>
        </is>
      </c>
      <c r="T52" s="9" t="inlineStr">
        <is>
          <t>product_fit</t>
        </is>
      </c>
      <c r="U52" s="59" t="inlineStr"/>
    </row>
    <row r="53">
      <c r="A53" s="9" t="n">
        <v>52</v>
      </c>
      <c r="B53" s="58" t="n">
        <v>46307</v>
      </c>
      <c r="C53" s="9" t="str">
        <f>TEXT(B53,"yyyy-mm")</f>
        <v>2026-10</v>
      </c>
      <c r="D53" s="9" t="n">
        <v>3</v>
      </c>
      <c r="E53" s="9" t="inlineStr">
        <is>
          <t>18.9.0</t>
        </is>
      </c>
      <c r="F53" s="59" t="inlineStr">
        <is>
          <t>Misleading Pricing and Hidden Charges – Very Disappointing Experience!</t>
        </is>
      </c>
      <c r="G53" s="59" t="inlineStr">
        <is>
          <t>The pricing feels like a trap. They initially attract customers by showing lower service charges, but as you proceed, multiple additional fees are added, significantly increasing the final cost.
What’s even more frustrating is that when you change the service type to Gold, the updated total cost is not clearly displayed upfront. This lack of transparency makes the entire process feel deliberately misleading.
Customers deserve clear, upfront pricing instead of discovering hidden charges at every step. Very disappointing experience and a serious lack of transparency!</t>
        </is>
      </c>
      <c r="H53" s="9" t="inlineStr">
        <is>
          <t>price_clarity</t>
        </is>
      </c>
      <c r="I53" s="9" t="inlineStr">
        <is>
          <t>hidden_charges</t>
        </is>
      </c>
      <c r="J53" s="9" t="inlineStr"/>
      <c r="K53" s="9" t="inlineStr">
        <is>
          <t>no</t>
        </is>
      </c>
      <c r="L53" s="9" t="inlineStr">
        <is>
          <t>no</t>
        </is>
      </c>
      <c r="M53" s="9" t="inlineStr">
        <is>
          <t>low</t>
        </is>
      </c>
      <c r="N53" s="9" t="inlineStr">
        <is>
          <t>no</t>
        </is>
      </c>
      <c r="O53" s="9" t="inlineStr">
        <is>
          <t>unknown</t>
        </is>
      </c>
      <c r="P53" s="9" t="inlineStr"/>
      <c r="Q53" s="9" t="n">
        <v>0</v>
      </c>
      <c r="R53" s="59" t="inlineStr">
        <is>
          <t>They initially attract customers by showing lower service charges, but as you proceed, multiple additional fees are added</t>
        </is>
      </c>
      <c r="S53" s="9" t="inlineStr">
        <is>
          <t>price_clarity</t>
        </is>
      </c>
      <c r="T53" s="9" t="inlineStr">
        <is>
          <t>price_clarity</t>
        </is>
      </c>
      <c r="U53" s="59" t="inlineStr"/>
    </row>
    <row r="54">
      <c r="A54" s="9" t="n">
        <v>53</v>
      </c>
      <c r="B54" s="58" t="n">
        <v>46307</v>
      </c>
      <c r="C54" s="9" t="str">
        <f>TEXT(B54,"yyyy-mm")</f>
        <v>2026-10</v>
      </c>
      <c r="D54" s="9" t="n">
        <v>3</v>
      </c>
      <c r="E54" s="9" t="inlineStr">
        <is>
          <t>18.9.0</t>
        </is>
      </c>
      <c r="F54" s="59" t="inlineStr">
        <is>
          <t>You people are very unprofessional; after a booking is made, the product is not available with you.</t>
        </is>
      </c>
      <c r="G54" s="59" t="inlineStr">
        <is>
          <t>This has happened to me two or three times.</t>
        </is>
      </c>
      <c r="H54" s="9" t="inlineStr">
        <is>
          <t>product_fit</t>
        </is>
      </c>
      <c r="I54" s="9" t="inlineStr">
        <is>
          <t>missing_or_wrong_products</t>
        </is>
      </c>
      <c r="J54" s="9" t="inlineStr"/>
      <c r="K54" s="9" t="inlineStr">
        <is>
          <t>no</t>
        </is>
      </c>
      <c r="L54" s="9" t="inlineStr">
        <is>
          <t>no</t>
        </is>
      </c>
      <c r="M54" s="9" t="inlineStr">
        <is>
          <t>low</t>
        </is>
      </c>
      <c r="N54" s="9" t="inlineStr">
        <is>
          <t>no</t>
        </is>
      </c>
      <c r="O54" s="9" t="inlineStr">
        <is>
          <t>unknown</t>
        </is>
      </c>
      <c r="P54" s="9" t="inlineStr"/>
      <c r="Q54" s="9" t="n">
        <v>0</v>
      </c>
      <c r="R54" s="59" t="inlineStr">
        <is>
          <t>You people are very unprofessional; after a booking is made, the product is not available with you.</t>
        </is>
      </c>
      <c r="S54" s="9" t="inlineStr">
        <is>
          <t>product_fit</t>
        </is>
      </c>
      <c r="T54" s="9" t="inlineStr">
        <is>
          <t>product_fit</t>
        </is>
      </c>
      <c r="U54" s="59" t="inlineStr"/>
    </row>
    <row r="55">
      <c r="A55" s="9" t="n">
        <v>54</v>
      </c>
      <c r="B55" s="58" t="n">
        <v>46306</v>
      </c>
      <c r="C55" s="9" t="str">
        <f>TEXT(B55,"yyyy-mm")</f>
        <v>2026-10</v>
      </c>
      <c r="D55" s="9" t="n">
        <v>5</v>
      </c>
      <c r="E55" s="9" t="inlineStr">
        <is>
          <t>18.9.0</t>
        </is>
      </c>
      <c r="F55" s="59" t="inlineStr">
        <is>
          <t>Awesome</t>
        </is>
      </c>
      <c r="G55" s="59" t="inlineStr">
        <is>
          <t>Superb service by yes madam</t>
        </is>
      </c>
      <c r="H55" s="9" t="inlineStr">
        <is>
          <t>praise</t>
        </is>
      </c>
      <c r="I55" s="9" t="inlineStr">
        <is>
          <t>praise_service</t>
        </is>
      </c>
      <c r="J55" s="9" t="inlineStr"/>
      <c r="K55" s="9" t="inlineStr">
        <is>
          <t>no</t>
        </is>
      </c>
      <c r="L55" s="9" t="inlineStr">
        <is>
          <t>no</t>
        </is>
      </c>
      <c r="M55" s="9" t="inlineStr">
        <is>
          <t>none</t>
        </is>
      </c>
      <c r="N55" s="9" t="inlineStr">
        <is>
          <t>no</t>
        </is>
      </c>
      <c r="O55" s="9" t="inlineStr">
        <is>
          <t>unknown</t>
        </is>
      </c>
      <c r="P55" s="9" t="inlineStr"/>
      <c r="Q55" s="9" t="n">
        <v>0</v>
      </c>
      <c r="R55" s="59" t="inlineStr">
        <is>
          <t>Superb service by yes madam</t>
        </is>
      </c>
      <c r="S55" s="9" t="inlineStr">
        <is>
          <t>praise</t>
        </is>
      </c>
      <c r="T55" s="9" t="inlineStr">
        <is>
          <t>praise</t>
        </is>
      </c>
      <c r="U55" s="59" t="inlineStr"/>
    </row>
    <row r="56">
      <c r="A56" s="9" t="n">
        <v>55</v>
      </c>
      <c r="B56" s="58" t="n">
        <v>46306</v>
      </c>
      <c r="C56" s="9" t="str">
        <f>TEXT(B56,"yyyy-mm")</f>
        <v>2026-10</v>
      </c>
      <c r="D56" s="9" t="n">
        <v>2</v>
      </c>
      <c r="E56" s="9" t="inlineStr">
        <is>
          <t>18.9.0</t>
        </is>
      </c>
      <c r="F56" s="59" t="inlineStr">
        <is>
          <t>Multiple extra charges</t>
        </is>
      </c>
      <c r="G56" s="59" t="inlineStr">
        <is>
          <t>I have opted for a pedicure service and while booking I get to know there are platform charges, mandatory disposable kit charges which resulted me to pay extra amount unnecessarily.</t>
        </is>
      </c>
      <c r="H56" s="9" t="inlineStr">
        <is>
          <t>price_clarity</t>
        </is>
      </c>
      <c r="I56" s="9" t="inlineStr">
        <is>
          <t>hidden_charges</t>
        </is>
      </c>
      <c r="J56" s="9" t="inlineStr"/>
      <c r="K56" s="9" t="inlineStr">
        <is>
          <t>no</t>
        </is>
      </c>
      <c r="L56" s="9" t="inlineStr">
        <is>
          <t>no</t>
        </is>
      </c>
      <c r="M56" s="9" t="inlineStr">
        <is>
          <t>low</t>
        </is>
      </c>
      <c r="N56" s="9" t="inlineStr">
        <is>
          <t>no</t>
        </is>
      </c>
      <c r="O56" s="9" t="inlineStr">
        <is>
          <t>mani_pedi</t>
        </is>
      </c>
      <c r="P56" s="9" t="inlineStr"/>
      <c r="Q56" s="9" t="n">
        <v>0</v>
      </c>
      <c r="R56" s="59" t="inlineStr">
        <is>
          <t>while booking I get to know there are platform charges, mandatory disposable kit charges which resulted me to pay extra amount unnecessarily.</t>
        </is>
      </c>
      <c r="S56" s="9" t="inlineStr">
        <is>
          <t>price_clarity</t>
        </is>
      </c>
      <c r="T56" s="9" t="inlineStr">
        <is>
          <t>price_clarity</t>
        </is>
      </c>
      <c r="U56" s="59" t="inlineStr"/>
    </row>
    <row r="57">
      <c r="A57" s="9" t="n">
        <v>56</v>
      </c>
      <c r="B57" s="58" t="n">
        <v>46306</v>
      </c>
      <c r="C57" s="9" t="str">
        <f>TEXT(B57,"yyyy-mm")</f>
        <v>2026-10</v>
      </c>
      <c r="D57" s="9" t="n">
        <v>5</v>
      </c>
      <c r="E57" s="9" t="inlineStr">
        <is>
          <t>18.9.0</t>
        </is>
      </c>
      <c r="F57" s="59" t="inlineStr">
        <is>
          <t>Swedish massage</t>
        </is>
      </c>
      <c r="G57" s="59" t="inlineStr">
        <is>
          <t>A very good service by [name]…</t>
        </is>
      </c>
      <c r="H57" s="9" t="inlineStr">
        <is>
          <t>praise</t>
        </is>
      </c>
      <c r="I57" s="9" t="inlineStr">
        <is>
          <t>praise_professional</t>
        </is>
      </c>
      <c r="J57" s="9" t="inlineStr"/>
      <c r="K57" s="9" t="inlineStr">
        <is>
          <t>no</t>
        </is>
      </c>
      <c r="L57" s="9" t="inlineStr">
        <is>
          <t>no</t>
        </is>
      </c>
      <c r="M57" s="9" t="inlineStr">
        <is>
          <t>none</t>
        </is>
      </c>
      <c r="N57" s="9" t="inlineStr">
        <is>
          <t>no</t>
        </is>
      </c>
      <c r="O57" s="9" t="inlineStr">
        <is>
          <t>massage_spa</t>
        </is>
      </c>
      <c r="P57" s="9" t="inlineStr"/>
      <c r="Q57" s="9" t="n">
        <v>0</v>
      </c>
      <c r="R57" s="59" t="inlineStr">
        <is>
          <t>A very good service by [name]…</t>
        </is>
      </c>
      <c r="S57" s="9" t="inlineStr">
        <is>
          <t>praise</t>
        </is>
      </c>
      <c r="T57" s="9" t="inlineStr">
        <is>
          <t>praise</t>
        </is>
      </c>
      <c r="U57" s="59" t="inlineStr"/>
    </row>
    <row r="58">
      <c r="A58" s="9" t="n">
        <v>57</v>
      </c>
      <c r="B58" s="58" t="n">
        <v>46306</v>
      </c>
      <c r="C58" s="9" t="str">
        <f>TEXT(B58,"yyyy-mm")</f>
        <v>2026-10</v>
      </c>
      <c r="D58" s="9" t="n">
        <v>5</v>
      </c>
      <c r="E58" s="9" t="inlineStr">
        <is>
          <t>18.9.0</t>
        </is>
      </c>
      <c r="F58" s="59" t="inlineStr">
        <is>
          <t>Excellent service</t>
        </is>
      </c>
      <c r="G58" s="59" t="inlineStr">
        <is>
          <t>I had an excellent experience with the service provided by [name]. She was extremely polite, professional, helpful, and attentive throughout the process. Her prompt response, friendly approach, and dedication made the entire experience smooth and pleasant. I truly appreciate her outstanding customer service and commitment to ensuring customer satisfaction. Thank you, [name], for your excellent service!</t>
        </is>
      </c>
      <c r="H58" s="9" t="inlineStr">
        <is>
          <t>praise</t>
        </is>
      </c>
      <c r="I58" s="9" t="inlineStr">
        <is>
          <t>praise_professional</t>
        </is>
      </c>
      <c r="J58" s="9" t="inlineStr"/>
      <c r="K58" s="9" t="inlineStr">
        <is>
          <t>no</t>
        </is>
      </c>
      <c r="L58" s="9" t="inlineStr">
        <is>
          <t>no</t>
        </is>
      </c>
      <c r="M58" s="9" t="inlineStr">
        <is>
          <t>none</t>
        </is>
      </c>
      <c r="N58" s="9" t="inlineStr">
        <is>
          <t>no</t>
        </is>
      </c>
      <c r="O58" s="9" t="inlineStr">
        <is>
          <t>unknown</t>
        </is>
      </c>
      <c r="P58" s="9" t="inlineStr"/>
      <c r="Q58" s="9" t="n">
        <v>0</v>
      </c>
      <c r="R58" s="59" t="inlineStr">
        <is>
          <t>I had an excellent experience with the service provided by [name]. She was extremely polite, professional, helpful, and attentive</t>
        </is>
      </c>
      <c r="S58" s="9" t="inlineStr">
        <is>
          <t>praise</t>
        </is>
      </c>
      <c r="T58" s="9" t="inlineStr">
        <is>
          <t>praise</t>
        </is>
      </c>
      <c r="U58" s="59" t="inlineStr"/>
    </row>
    <row r="59">
      <c r="A59" s="9" t="n">
        <v>58</v>
      </c>
      <c r="B59" s="58" t="n">
        <v>46306</v>
      </c>
      <c r="C59" s="9" t="str">
        <f>TEXT(B59,"yyyy-mm")</f>
        <v>2026-10</v>
      </c>
      <c r="D59" s="9" t="n">
        <v>5</v>
      </c>
      <c r="E59" s="9" t="inlineStr">
        <is>
          <t>18.9.0</t>
        </is>
      </c>
      <c r="F59" s="59" t="inlineStr">
        <is>
          <t>Skin care services</t>
        </is>
      </c>
      <c r="G59" s="59" t="inlineStr">
        <is>
          <t>I was home alone with my little daughter, so stepping out for a salon appointment wasn’t really possible. That’s when I came across Yes Madam Salon Service through an online advertisement, and I decided to give it a try. ❤️
I booked an appointment through the app, and to my surprise, the professional arrived even earlier than the time slot I had selected! She was punctual, humble, kind, and provided absolutely amazing service. ✨
I have been visiting salons for the last 17 years and have tried services at many different salons across Surat. But honestly, the quality of service and the products used by Yes Madam Salon Service were unlike anything I had experienced before. The results were amazing, and I was genuinely impressed by the quality of the products.
As a mother of a little one, having such a wonderful salon experience at home saved me so much time and effort. Most importantly, I received the kind of service that left me completely satisfied. ❤️
A big thank you to Yes Madam Salon Service and [name] for making my experience so comfortable and worthwhile. You truly exceeded my expectations! 🥰
Highly recommended to anyone looking for professional salon services at home without compromising on quality. 💖✨</t>
        </is>
      </c>
      <c r="H59" s="9" t="inlineStr">
        <is>
          <t>praise</t>
        </is>
      </c>
      <c r="I59" s="9" t="inlineStr">
        <is>
          <t>praise_service</t>
        </is>
      </c>
      <c r="J59" s="9" t="inlineStr"/>
      <c r="K59" s="9" t="inlineStr">
        <is>
          <t>no</t>
        </is>
      </c>
      <c r="L59" s="9" t="inlineStr">
        <is>
          <t>no</t>
        </is>
      </c>
      <c r="M59" s="9" t="inlineStr">
        <is>
          <t>none</t>
        </is>
      </c>
      <c r="N59" s="9" t="inlineStr">
        <is>
          <t>no</t>
        </is>
      </c>
      <c r="O59" s="9" t="inlineStr">
        <is>
          <t>facial_cleanup</t>
        </is>
      </c>
      <c r="P59" s="9" t="inlineStr">
        <is>
          <t>Surat</t>
        </is>
      </c>
      <c r="Q59" s="9" t="n">
        <v>0</v>
      </c>
      <c r="R59" s="59" t="inlineStr">
        <is>
          <t>the quality of service and the products used by Yes Madam Salon Service were unlike anything I had experienced before.</t>
        </is>
      </c>
      <c r="S59" s="9" t="inlineStr">
        <is>
          <t>praise</t>
        </is>
      </c>
      <c r="T59" s="9" t="inlineStr">
        <is>
          <t>praise</t>
        </is>
      </c>
      <c r="U59" s="59" t="inlineStr"/>
    </row>
    <row r="60">
      <c r="A60" s="9" t="n">
        <v>59</v>
      </c>
      <c r="B60" s="58" t="n">
        <v>46306</v>
      </c>
      <c r="C60" s="9" t="str">
        <f>TEXT(B60,"yyyy-mm")</f>
        <v>2026-10</v>
      </c>
      <c r="D60" s="9" t="n">
        <v>1</v>
      </c>
      <c r="E60" s="9" t="inlineStr">
        <is>
          <t>18.9.0</t>
        </is>
      </c>
      <c r="F60" s="59" t="inlineStr">
        <is>
          <t>Always missing on products</t>
        </is>
      </c>
      <c r="G60" s="59" t="inlineStr">
        <is>
          <t>They mention certain products in services, sometimes charge extra too but professionals don’t have them most times</t>
        </is>
      </c>
      <c r="H60" s="9" t="inlineStr">
        <is>
          <t>product_fit</t>
        </is>
      </c>
      <c r="I60" s="9" t="inlineStr">
        <is>
          <t>missing_or_wrong_products</t>
        </is>
      </c>
      <c r="J60" s="9" t="inlineStr">
        <is>
          <t>price_clarity</t>
        </is>
      </c>
      <c r="K60" s="9" t="inlineStr">
        <is>
          <t>no</t>
        </is>
      </c>
      <c r="L60" s="9" t="inlineStr">
        <is>
          <t>no</t>
        </is>
      </c>
      <c r="M60" s="9" t="inlineStr">
        <is>
          <t>medium</t>
        </is>
      </c>
      <c r="N60" s="9" t="inlineStr">
        <is>
          <t>no</t>
        </is>
      </c>
      <c r="O60" s="9" t="inlineStr">
        <is>
          <t>unknown</t>
        </is>
      </c>
      <c r="P60" s="9" t="inlineStr"/>
      <c r="Q60" s="9" t="n">
        <v>0</v>
      </c>
      <c r="R60" s="59" t="inlineStr">
        <is>
          <t>They mention certain products in services, sometimes charge extra too but professionals don’t have them most times</t>
        </is>
      </c>
      <c r="S60" s="9" t="inlineStr">
        <is>
          <t>product_fit</t>
        </is>
      </c>
      <c r="T60" s="9" t="inlineStr">
        <is>
          <t>product_fit</t>
        </is>
      </c>
      <c r="U60" s="59" t="inlineStr"/>
    </row>
    <row r="61">
      <c r="A61" s="9" t="n">
        <v>60</v>
      </c>
      <c r="B61" s="58" t="n">
        <v>46305</v>
      </c>
      <c r="C61" s="9" t="str">
        <f>TEXT(B61,"yyyy-mm")</f>
        <v>2026-10</v>
      </c>
      <c r="D61" s="9" t="n">
        <v>5</v>
      </c>
      <c r="E61" s="9" t="inlineStr">
        <is>
          <t>18.9.0</t>
        </is>
      </c>
      <c r="F61" s="59" t="inlineStr">
        <is>
          <t>Little bit expensive</t>
        </is>
      </c>
      <c r="G61" s="59" t="inlineStr">
        <is>
          <t>But product quality is good</t>
        </is>
      </c>
      <c r="H61" s="9" t="inlineStr">
        <is>
          <t>other</t>
        </is>
      </c>
      <c r="I61" s="9" t="inlineStr">
        <is>
          <t>other_issue</t>
        </is>
      </c>
      <c r="J61" s="9" t="inlineStr"/>
      <c r="K61" s="9" t="inlineStr">
        <is>
          <t>no</t>
        </is>
      </c>
      <c r="L61" s="9" t="inlineStr">
        <is>
          <t>no</t>
        </is>
      </c>
      <c r="M61" s="9" t="inlineStr">
        <is>
          <t>none</t>
        </is>
      </c>
      <c r="N61" s="9" t="inlineStr">
        <is>
          <t>no</t>
        </is>
      </c>
      <c r="O61" s="9" t="inlineStr">
        <is>
          <t>unknown</t>
        </is>
      </c>
      <c r="P61" s="9" t="inlineStr"/>
      <c r="Q61" s="9" t="n">
        <v>0</v>
      </c>
      <c r="R61" s="59" t="inlineStr">
        <is>
          <t>Little bit expensive | But product quality is good</t>
        </is>
      </c>
      <c r="S61" s="9" t="inlineStr">
        <is>
          <t>praise</t>
        </is>
      </c>
      <c r="T61" s="9" t="inlineStr">
        <is>
          <t>other</t>
        </is>
      </c>
      <c r="U61" s="59" t="inlineStr">
        <is>
          <t>Mixed review (rule 5): the complaint is 'little bit expensive', which is not a hidden charge or price mismatch, so it is other/other_issue rather than praise or price_clarity.</t>
        </is>
      </c>
    </row>
    <row r="62">
      <c r="A62" s="9" t="n">
        <v>61</v>
      </c>
      <c r="B62" s="58" t="n">
        <v>46305</v>
      </c>
      <c r="C62" s="9" t="str">
        <f>TEXT(B62,"yyyy-mm")</f>
        <v>2026-10</v>
      </c>
      <c r="D62" s="9" t="n">
        <v>1</v>
      </c>
      <c r="E62" s="9" t="inlineStr">
        <is>
          <t>18.9.0</t>
        </is>
      </c>
      <c r="F62" s="59" t="inlineStr">
        <is>
          <t>Terrible service, no accountability and ghosted by cyst support</t>
        </is>
      </c>
      <c r="G62" s="59" t="inlineStr">
        <is>
          <t>YesMadam’s service quality has deteriorated drastically. I booked and paid for a service, but the professional simply never turned up. To make matters worse, customer support is completely unreachable.
they have started using cheap local products, and when you raise a complaint, management takes zero action. Taking your money and ignoring your customers is unacceptable. I have officially uninstalled the app and would strongly advise everyone to skip this platform and just head to a local salon instead.</t>
        </is>
      </c>
      <c r="H62" s="9" t="inlineStr">
        <is>
          <t>partner_cancellation</t>
        </is>
      </c>
      <c r="I62" s="9" t="inlineStr">
        <is>
          <t>no_show</t>
        </is>
      </c>
      <c r="J62" s="9" t="inlineStr">
        <is>
          <t>payment_refund, support, product_fit</t>
        </is>
      </c>
      <c r="K62" s="9" t="inlineStr">
        <is>
          <t>yes</t>
        </is>
      </c>
      <c r="L62" s="9" t="inlineStr">
        <is>
          <t>yes</t>
        </is>
      </c>
      <c r="M62" s="9" t="inlineStr">
        <is>
          <t>high</t>
        </is>
      </c>
      <c r="N62" s="9" t="inlineStr">
        <is>
          <t>yes</t>
        </is>
      </c>
      <c r="O62" s="9" t="inlineStr">
        <is>
          <t>unknown</t>
        </is>
      </c>
      <c r="P62" s="9" t="inlineStr"/>
      <c r="Q62" s="9" t="n">
        <v>0</v>
      </c>
      <c r="R62" s="59" t="inlineStr">
        <is>
          <t>I booked and paid for a service, but the professional simply never turned up.</t>
        </is>
      </c>
      <c r="S62" s="9" t="inlineStr">
        <is>
          <t>partner_cancellation</t>
        </is>
      </c>
      <c r="T62" s="9" t="inlineStr">
        <is>
          <t>partner_cancellation</t>
        </is>
      </c>
      <c r="U62" s="59" t="inlineStr"/>
    </row>
    <row r="63">
      <c r="A63" s="9" t="n">
        <v>62</v>
      </c>
      <c r="B63" s="58" t="n">
        <v>46305</v>
      </c>
      <c r="C63" s="9" t="str">
        <f>TEXT(B63,"yyyy-mm")</f>
        <v>2026-10</v>
      </c>
      <c r="D63" s="9" t="n">
        <v>1</v>
      </c>
      <c r="E63" s="9" t="inlineStr">
        <is>
          <t>18.9.0</t>
        </is>
      </c>
      <c r="F63" s="59" t="inlineStr">
        <is>
          <t>Service denied by professional</t>
        </is>
      </c>
      <c r="G63" s="59" t="inlineStr">
        <is>
          <t>Ms. [name] was assigned to me for 2 pm today and she calls me at 10 and says she will either come at 10:30 or cancel. I also gave her the option to reschedule it to a 12 noon or a 1 pm slot, she said no im on leave. This should not have happened I had booked since yesterday. Then on the app when i tried to reschedule it didn’t give me a slot before Wednesday. But the rescheduling didn’t arise due to me, it arised due to your professional. Very disappointed.</t>
        </is>
      </c>
      <c r="H63" s="9" t="inlineStr">
        <is>
          <t>partner_cancellation</t>
        </is>
      </c>
      <c r="I63" s="9" t="inlineStr">
        <is>
          <t>last_minute_cancel</t>
        </is>
      </c>
      <c r="J63" s="9" t="inlineStr">
        <is>
          <t>app</t>
        </is>
      </c>
      <c r="K63" s="9" t="inlineStr">
        <is>
          <t>no</t>
        </is>
      </c>
      <c r="L63" s="9" t="inlineStr">
        <is>
          <t>no</t>
        </is>
      </c>
      <c r="M63" s="9" t="inlineStr">
        <is>
          <t>medium</t>
        </is>
      </c>
      <c r="N63" s="9" t="inlineStr">
        <is>
          <t>no</t>
        </is>
      </c>
      <c r="O63" s="9" t="inlineStr">
        <is>
          <t>unknown</t>
        </is>
      </c>
      <c r="P63" s="9" t="inlineStr"/>
      <c r="Q63" s="9" t="n">
        <v>0</v>
      </c>
      <c r="R63" s="59" t="inlineStr">
        <is>
          <t>she calls me at 10 and says she will either come at 10:30 or cancel.</t>
        </is>
      </c>
      <c r="S63" s="9" t="inlineStr">
        <is>
          <t>partner_cancellation</t>
        </is>
      </c>
      <c r="T63" s="9" t="inlineStr">
        <is>
          <t>partner_cancellation</t>
        </is>
      </c>
      <c r="U63" s="59" t="inlineStr"/>
    </row>
    <row r="64">
      <c r="A64" s="9" t="n">
        <v>63</v>
      </c>
      <c r="B64" s="58" t="n">
        <v>46305</v>
      </c>
      <c r="C64" s="9" t="str">
        <f>TEXT(B64,"yyyy-mm")</f>
        <v>2026-10</v>
      </c>
      <c r="D64" s="9" t="n">
        <v>2</v>
      </c>
      <c r="E64" s="9" t="inlineStr">
        <is>
          <t>18.9.0</t>
        </is>
      </c>
      <c r="F64" s="59" t="inlineStr">
        <is>
          <t>One time use plastic waste</t>
        </is>
      </c>
      <c r="G64" s="59" t="inlineStr">
        <is>
          <t>This review is not about the app or the services. This is about the single use plastic for each service. The meni pedi disposable kit is absolutely unnecessary. I understand it’s to maintain hygiene that each customer uses a fresh kit to avoid infections or diseases but the slippers, mini trimmer and all the things it included are not at all necessary , instead you may provide the service giver with a steriliser. Please understand the earth is already filled with a lot of garbage, as an enterprise it’s your responsibility to minimise waste. Single time use plastics should be removed from service as much as possible. I personally never prefer and use the disposable gown bedsheet etc, since I am at home I have no problem using my own things, please provide an option to the customer to opt out of using disposable stuff.</t>
        </is>
      </c>
      <c r="H64" s="9" t="inlineStr">
        <is>
          <t>other</t>
        </is>
      </c>
      <c r="I64" s="9" t="inlineStr">
        <is>
          <t>other_issue</t>
        </is>
      </c>
      <c r="J64" s="9" t="inlineStr"/>
      <c r="K64" s="9" t="inlineStr">
        <is>
          <t>no</t>
        </is>
      </c>
      <c r="L64" s="9" t="inlineStr">
        <is>
          <t>no</t>
        </is>
      </c>
      <c r="M64" s="9" t="inlineStr">
        <is>
          <t>low</t>
        </is>
      </c>
      <c r="N64" s="9" t="inlineStr">
        <is>
          <t>no</t>
        </is>
      </c>
      <c r="O64" s="9" t="inlineStr">
        <is>
          <t>mani_pedi</t>
        </is>
      </c>
      <c r="P64" s="9" t="inlineStr"/>
      <c r="Q64" s="9" t="n">
        <v>0</v>
      </c>
      <c r="R64" s="59" t="inlineStr">
        <is>
          <t>This is about the single use plastic for each service. The meni pedi disposable kit is absolutely unnecessary.</t>
        </is>
      </c>
      <c r="S64" s="9" t="inlineStr">
        <is>
          <t>other</t>
        </is>
      </c>
      <c r="T64" s="9" t="inlineStr">
        <is>
          <t>other</t>
        </is>
      </c>
      <c r="U64" s="59" t="inlineStr"/>
    </row>
    <row r="65">
      <c r="A65" s="9" t="n">
        <v>64</v>
      </c>
      <c r="B65" s="58" t="n">
        <v>46305</v>
      </c>
      <c r="C65" s="9" t="str">
        <f>TEXT(B65,"yyyy-mm")</f>
        <v>2026-10</v>
      </c>
      <c r="D65" s="9" t="n">
        <v>1</v>
      </c>
      <c r="E65" s="9" t="inlineStr">
        <is>
          <t>18.9.0</t>
        </is>
      </c>
      <c r="F65" s="59" t="inlineStr">
        <is>
          <t>Worst service avoid them</t>
        </is>
      </c>
      <c r="G65" s="59" t="inlineStr">
        <is>
          <t>Very bad service after taking booking they cancel booking 10-15 min prior your alloted time and the hub manager give the worst answers and this is not done once but 2-3 time with me and every time they will give some silly reason.I would definitely say the saloons and others in local market are far better and they are reliable atleast that they fulfill as per the commitments they give.worst and hopeless service by entire team of yes madam.</t>
        </is>
      </c>
      <c r="H65" s="9" t="inlineStr">
        <is>
          <t>partner_cancellation</t>
        </is>
      </c>
      <c r="I65" s="9" t="inlineStr">
        <is>
          <t>last_minute_cancel</t>
        </is>
      </c>
      <c r="J65" s="9" t="inlineStr">
        <is>
          <t>support</t>
        </is>
      </c>
      <c r="K65" s="9" t="inlineStr">
        <is>
          <t>yes</t>
        </is>
      </c>
      <c r="L65" s="9" t="inlineStr">
        <is>
          <t>yes</t>
        </is>
      </c>
      <c r="M65" s="9" t="inlineStr">
        <is>
          <t>medium</t>
        </is>
      </c>
      <c r="N65" s="9" t="inlineStr">
        <is>
          <t>no</t>
        </is>
      </c>
      <c r="O65" s="9" t="inlineStr">
        <is>
          <t>unknown</t>
        </is>
      </c>
      <c r="P65" s="9" t="inlineStr"/>
      <c r="Q65" s="9" t="n">
        <v>0</v>
      </c>
      <c r="R65" s="59" t="inlineStr">
        <is>
          <t>after taking booking they cancel booking 10-15 min prior your alloted time and the hub manager give the worst answers</t>
        </is>
      </c>
      <c r="S65" s="9" t="inlineStr">
        <is>
          <t>partner_cancellation</t>
        </is>
      </c>
      <c r="T65" s="9" t="inlineStr">
        <is>
          <t>partner_cancellation</t>
        </is>
      </c>
      <c r="U65" s="59" t="inlineStr"/>
    </row>
    <row r="66">
      <c r="A66" s="9" t="n">
        <v>65</v>
      </c>
      <c r="B66" s="58" t="n">
        <v>46305</v>
      </c>
      <c r="C66" s="9" t="str">
        <f>TEXT(B66,"yyyy-mm")</f>
        <v>2026-10</v>
      </c>
      <c r="D66" s="9" t="n">
        <v>1</v>
      </c>
      <c r="E66" s="9" t="inlineStr">
        <is>
          <t>18.9.0</t>
        </is>
      </c>
      <c r="F66" s="59" t="inlineStr">
        <is>
          <t>Pathetic services</t>
        </is>
      </c>
      <c r="G66" s="59" t="inlineStr">
        <is>
          <t>If u ever want to experience how pathetic feel like- try yes madam.
They are not taking care of hygiene, just making customer pay for it.</t>
        </is>
      </c>
      <c r="H66" s="9" t="inlineStr">
        <is>
          <t>service_quality</t>
        </is>
      </c>
      <c r="I66" s="9" t="inlineStr">
        <is>
          <t>hygiene</t>
        </is>
      </c>
      <c r="J66" s="9" t="inlineStr"/>
      <c r="K66" s="9" t="inlineStr">
        <is>
          <t>no</t>
        </is>
      </c>
      <c r="L66" s="9" t="inlineStr">
        <is>
          <t>no</t>
        </is>
      </c>
      <c r="M66" s="9" t="inlineStr">
        <is>
          <t>medium</t>
        </is>
      </c>
      <c r="N66" s="9" t="inlineStr">
        <is>
          <t>no</t>
        </is>
      </c>
      <c r="O66" s="9" t="inlineStr">
        <is>
          <t>unknown</t>
        </is>
      </c>
      <c r="P66" s="9" t="inlineStr"/>
      <c r="Q66" s="9" t="n">
        <v>0</v>
      </c>
      <c r="R66" s="59" t="inlineStr">
        <is>
          <t>They are not taking care of hygiene, just making customer pay for it.</t>
        </is>
      </c>
      <c r="S66" s="9" t="inlineStr">
        <is>
          <t>service_quality</t>
        </is>
      </c>
      <c r="T66" s="9" t="inlineStr">
        <is>
          <t>service_quality</t>
        </is>
      </c>
      <c r="U66" s="59" t="inlineStr"/>
    </row>
    <row r="67">
      <c r="A67" s="9" t="n">
        <v>66</v>
      </c>
      <c r="B67" s="58" t="n">
        <v>46305</v>
      </c>
      <c r="C67" s="9" t="str">
        <f>TEXT(B67,"yyyy-mm")</f>
        <v>2026-10</v>
      </c>
      <c r="D67" s="9" t="n">
        <v>5</v>
      </c>
      <c r="E67" s="9" t="inlineStr">
        <is>
          <t>18.9.0</t>
        </is>
      </c>
      <c r="F67" s="59" t="inlineStr">
        <is>
          <t>Great service provider</t>
        </is>
      </c>
      <c r="G67" s="59" t="inlineStr">
        <is>
          <t>Great service provider</t>
        </is>
      </c>
      <c r="H67" s="9" t="inlineStr">
        <is>
          <t>praise</t>
        </is>
      </c>
      <c r="I67" s="9" t="inlineStr">
        <is>
          <t>praise_professional</t>
        </is>
      </c>
      <c r="J67" s="9" t="inlineStr"/>
      <c r="K67" s="9" t="inlineStr">
        <is>
          <t>no</t>
        </is>
      </c>
      <c r="L67" s="9" t="inlineStr">
        <is>
          <t>no</t>
        </is>
      </c>
      <c r="M67" s="9" t="inlineStr">
        <is>
          <t>none</t>
        </is>
      </c>
      <c r="N67" s="9" t="inlineStr">
        <is>
          <t>no</t>
        </is>
      </c>
      <c r="O67" s="9" t="inlineStr">
        <is>
          <t>unknown</t>
        </is>
      </c>
      <c r="P67" s="9" t="inlineStr"/>
      <c r="Q67" s="9" t="n">
        <v>0</v>
      </c>
      <c r="R67" s="59" t="inlineStr">
        <is>
          <t>Great service provider</t>
        </is>
      </c>
      <c r="S67" s="9" t="inlineStr">
        <is>
          <t>praise</t>
        </is>
      </c>
      <c r="T67" s="9" t="inlineStr">
        <is>
          <t>praise</t>
        </is>
      </c>
      <c r="U67" s="59" t="inlineStr"/>
    </row>
    <row r="68">
      <c r="A68" s="9" t="n">
        <v>67</v>
      </c>
      <c r="B68" s="58" t="n">
        <v>46305</v>
      </c>
      <c r="C68" s="9" t="str">
        <f>TEXT(B68,"yyyy-mm")</f>
        <v>2026-10</v>
      </c>
      <c r="D68" s="9" t="n">
        <v>3</v>
      </c>
      <c r="E68" s="9" t="inlineStr">
        <is>
          <t>18.9.0</t>
        </is>
      </c>
      <c r="F68" s="59" t="inlineStr">
        <is>
          <t>App is easy to use</t>
        </is>
      </c>
      <c r="G68" s="59" t="inlineStr">
        <is>
          <t>Very good app and very price efficient</t>
        </is>
      </c>
      <c r="H68" s="9" t="inlineStr">
        <is>
          <t>praise</t>
        </is>
      </c>
      <c r="I68" s="9" t="inlineStr">
        <is>
          <t>praise_value</t>
        </is>
      </c>
      <c r="J68" s="9" t="inlineStr"/>
      <c r="K68" s="9" t="inlineStr">
        <is>
          <t>no</t>
        </is>
      </c>
      <c r="L68" s="9" t="inlineStr">
        <is>
          <t>no</t>
        </is>
      </c>
      <c r="M68" s="9" t="inlineStr">
        <is>
          <t>none</t>
        </is>
      </c>
      <c r="N68" s="9" t="inlineStr">
        <is>
          <t>no</t>
        </is>
      </c>
      <c r="O68" s="9" t="inlineStr">
        <is>
          <t>unknown</t>
        </is>
      </c>
      <c r="P68" s="9" t="inlineStr"/>
      <c r="Q68" s="9" t="n">
        <v>0</v>
      </c>
      <c r="R68" s="59" t="inlineStr">
        <is>
          <t>Very good app and very price efficient</t>
        </is>
      </c>
      <c r="S68" s="9" t="inlineStr">
        <is>
          <t>praise</t>
        </is>
      </c>
      <c r="T68" s="9" t="inlineStr">
        <is>
          <t>praise</t>
        </is>
      </c>
      <c r="U68" s="59" t="inlineStr"/>
    </row>
    <row r="69">
      <c r="A69" s="9" t="n">
        <v>68</v>
      </c>
      <c r="B69" s="58" t="n">
        <v>46305</v>
      </c>
      <c r="C69" s="9" t="str">
        <f>TEXT(B69,"yyyy-mm")</f>
        <v>2026-10</v>
      </c>
      <c r="D69" s="9" t="n">
        <v>2</v>
      </c>
      <c r="E69" s="9" t="inlineStr">
        <is>
          <t>18.9.0</t>
        </is>
      </c>
      <c r="F69" s="59" t="inlineStr">
        <is>
          <t>App login issue - number not logging ing</t>
        </is>
      </c>
      <c r="G69" s="59" t="inlineStr">
        <is>
          <t>To log in using a phone number, the app just doesnt log in at all, keeps loading and doesn’t log in… tried on Saturday to book service from two different devices and different numbers multiple times , it just didn’t login at all.
Need to work on your app services on priority since this is a purely app based model.</t>
        </is>
      </c>
      <c r="H69" s="9" t="inlineStr">
        <is>
          <t>app</t>
        </is>
      </c>
      <c r="I69" s="9" t="inlineStr">
        <is>
          <t>login_or_otp</t>
        </is>
      </c>
      <c r="J69" s="9" t="inlineStr"/>
      <c r="K69" s="9" t="inlineStr">
        <is>
          <t>no</t>
        </is>
      </c>
      <c r="L69" s="9" t="inlineStr">
        <is>
          <t>no</t>
        </is>
      </c>
      <c r="M69" s="9" t="inlineStr">
        <is>
          <t>low</t>
        </is>
      </c>
      <c r="N69" s="9" t="inlineStr">
        <is>
          <t>no</t>
        </is>
      </c>
      <c r="O69" s="9" t="inlineStr">
        <is>
          <t>unknown</t>
        </is>
      </c>
      <c r="P69" s="9" t="inlineStr"/>
      <c r="Q69" s="9" t="n">
        <v>0</v>
      </c>
      <c r="R69" s="59" t="inlineStr">
        <is>
          <t>To log in using a phone number, the app just doesnt log in at all, keeps loading and doesn’t log in</t>
        </is>
      </c>
      <c r="S69" s="9" t="inlineStr">
        <is>
          <t>app</t>
        </is>
      </c>
      <c r="T69" s="9" t="inlineStr">
        <is>
          <t>app</t>
        </is>
      </c>
      <c r="U69" s="59" t="inlineStr"/>
    </row>
    <row r="70">
      <c r="A70" s="9" t="n">
        <v>69</v>
      </c>
      <c r="B70" s="58" t="n">
        <v>46305</v>
      </c>
      <c r="C70" s="9" t="str">
        <f>TEXT(B70,"yyyy-mm")</f>
        <v>2026-10</v>
      </c>
      <c r="D70" s="9" t="n">
        <v>5</v>
      </c>
      <c r="E70" s="9" t="inlineStr">
        <is>
          <t>18.9.0</t>
        </is>
      </c>
      <c r="F70" s="59" t="inlineStr">
        <is>
          <t>Pre bridal</t>
        </is>
      </c>
      <c r="G70" s="59" t="inlineStr">
        <is>
          <t>Its very nice service for pre bridal by [name]</t>
        </is>
      </c>
      <c r="H70" s="9" t="inlineStr">
        <is>
          <t>praise</t>
        </is>
      </c>
      <c r="I70" s="9" t="inlineStr">
        <is>
          <t>praise_professional</t>
        </is>
      </c>
      <c r="J70" s="9" t="inlineStr"/>
      <c r="K70" s="9" t="inlineStr">
        <is>
          <t>no</t>
        </is>
      </c>
      <c r="L70" s="9" t="inlineStr">
        <is>
          <t>no</t>
        </is>
      </c>
      <c r="M70" s="9" t="inlineStr">
        <is>
          <t>none</t>
        </is>
      </c>
      <c r="N70" s="9" t="inlineStr">
        <is>
          <t>no</t>
        </is>
      </c>
      <c r="O70" s="9" t="inlineStr">
        <is>
          <t>multiple</t>
        </is>
      </c>
      <c r="P70" s="9" t="inlineStr"/>
      <c r="Q70" s="9" t="n">
        <v>0</v>
      </c>
      <c r="R70" s="59" t="inlineStr">
        <is>
          <t>Its very nice service for pre bridal by [name]</t>
        </is>
      </c>
      <c r="S70" s="9" t="inlineStr">
        <is>
          <t>praise</t>
        </is>
      </c>
      <c r="T70" s="9" t="inlineStr">
        <is>
          <t>praise</t>
        </is>
      </c>
      <c r="U70" s="59" t="inlineStr"/>
    </row>
    <row r="71">
      <c r="A71" s="9" t="n">
        <v>70</v>
      </c>
      <c r="B71" s="58" t="n">
        <v>46305</v>
      </c>
      <c r="C71" s="9" t="str">
        <f>TEXT(B71,"yyyy-mm")</f>
        <v>2026-10</v>
      </c>
      <c r="D71" s="9" t="n">
        <v>1</v>
      </c>
      <c r="E71" s="9" t="inlineStr">
        <is>
          <t>18.9.0</t>
        </is>
      </c>
      <c r="F71" s="59" t="inlineStr">
        <is>
          <t>False offers!</t>
        </is>
      </c>
      <c r="G71" s="59" t="inlineStr">
        <is>
          <t>They run false offers and advertisements to attract users!</t>
        </is>
      </c>
      <c r="H71" s="9" t="inlineStr">
        <is>
          <t>price_clarity</t>
        </is>
      </c>
      <c r="I71" s="9" t="inlineStr">
        <is>
          <t>offer_not_honoured</t>
        </is>
      </c>
      <c r="J71" s="9" t="inlineStr"/>
      <c r="K71" s="9" t="inlineStr">
        <is>
          <t>no</t>
        </is>
      </c>
      <c r="L71" s="9" t="inlineStr">
        <is>
          <t>no</t>
        </is>
      </c>
      <c r="M71" s="9" t="inlineStr">
        <is>
          <t>low</t>
        </is>
      </c>
      <c r="N71" s="9" t="inlineStr">
        <is>
          <t>no</t>
        </is>
      </c>
      <c r="O71" s="9" t="inlineStr">
        <is>
          <t>unknown</t>
        </is>
      </c>
      <c r="P71" s="9" t="inlineStr"/>
      <c r="Q71" s="9" t="n">
        <v>0</v>
      </c>
      <c r="R71" s="59" t="inlineStr">
        <is>
          <t>They run false offers and advertisements to attract users!</t>
        </is>
      </c>
      <c r="S71" s="9" t="inlineStr">
        <is>
          <t>price_clarity</t>
        </is>
      </c>
      <c r="T71" s="9" t="inlineStr">
        <is>
          <t>price_clarity</t>
        </is>
      </c>
      <c r="U71" s="59" t="inlineStr"/>
    </row>
    <row r="72">
      <c r="A72" s="9" t="n">
        <v>71</v>
      </c>
      <c r="B72" s="58" t="n">
        <v>46305</v>
      </c>
      <c r="C72" s="9" t="str">
        <f>TEXT(B72,"yyyy-mm")</f>
        <v>2026-10</v>
      </c>
      <c r="D72" s="9" t="n">
        <v>1</v>
      </c>
      <c r="E72" s="9" t="inlineStr">
        <is>
          <t>18.9.0</t>
        </is>
      </c>
      <c r="F72" s="59" t="inlineStr">
        <is>
          <t>Zero or negative star</t>
        </is>
      </c>
      <c r="G72" s="59" t="inlineStr">
        <is>
          <t>Zero stars for the worst first experience at yes madam. 
Cancelled my booking at the time of my slot. Didn’t even inform me earlier. 
First experience was a big blunder disaster. 
Would not recommend to rely on this app specifically. Worst customer care experience also.</t>
        </is>
      </c>
      <c r="H72" s="9" t="inlineStr">
        <is>
          <t>partner_cancellation</t>
        </is>
      </c>
      <c r="I72" s="9" t="inlineStr">
        <is>
          <t>last_minute_cancel</t>
        </is>
      </c>
      <c r="J72" s="9" t="inlineStr">
        <is>
          <t>support</t>
        </is>
      </c>
      <c r="K72" s="9" t="inlineStr">
        <is>
          <t>yes</t>
        </is>
      </c>
      <c r="L72" s="9" t="inlineStr">
        <is>
          <t>yes</t>
        </is>
      </c>
      <c r="M72" s="9" t="inlineStr">
        <is>
          <t>medium</t>
        </is>
      </c>
      <c r="N72" s="9" t="inlineStr">
        <is>
          <t>no</t>
        </is>
      </c>
      <c r="O72" s="9" t="inlineStr">
        <is>
          <t>unknown</t>
        </is>
      </c>
      <c r="P72" s="9" t="inlineStr"/>
      <c r="Q72" s="9" t="n">
        <v>0</v>
      </c>
      <c r="R72" s="59" t="inlineStr">
        <is>
          <t>Cancelled my booking at the time of my slot. Didn’t even inform me earlier.</t>
        </is>
      </c>
      <c r="S72" s="9" t="inlineStr">
        <is>
          <t>partner_cancellation</t>
        </is>
      </c>
      <c r="T72" s="9" t="inlineStr">
        <is>
          <t>partner_cancellation</t>
        </is>
      </c>
      <c r="U72" s="59" t="inlineStr"/>
    </row>
    <row r="73">
      <c r="A73" s="9" t="n">
        <v>72</v>
      </c>
      <c r="B73" s="58" t="n">
        <v>46305</v>
      </c>
      <c r="C73" s="9" t="str">
        <f>TEXT(B73,"yyyy-mm")</f>
        <v>2026-10</v>
      </c>
      <c r="D73" s="9" t="n">
        <v>1</v>
      </c>
      <c r="E73" s="9" t="inlineStr">
        <is>
          <t>18.9.0</t>
        </is>
      </c>
      <c r="F73" s="59" t="inlineStr">
        <is>
          <t>Unprofessional services</t>
        </is>
      </c>
      <c r="G73" s="59" t="inlineStr">
        <is>
          <t>I have been using yes madam services for almost 1 year now. Its my common observation across all professionals that they are not at all well trained. Firstly, Professionals always arrive late and are very rude &amp; insensitive. They just want to complete their job. They dont at all bother if the service is good, is the client comfortable, what do they need. Its been pathetic experience always. They should learn at least basics from their competitors like urban company.</t>
        </is>
      </c>
      <c r="H73" s="9" t="inlineStr">
        <is>
          <t>service_quality</t>
        </is>
      </c>
      <c r="I73" s="9" t="inlineStr">
        <is>
          <t>poor_skill</t>
        </is>
      </c>
      <c r="J73" s="9" t="inlineStr">
        <is>
          <t>delay</t>
        </is>
      </c>
      <c r="K73" s="9" t="inlineStr">
        <is>
          <t>no</t>
        </is>
      </c>
      <c r="L73" s="9" t="inlineStr">
        <is>
          <t>no</t>
        </is>
      </c>
      <c r="M73" s="9" t="inlineStr">
        <is>
          <t>medium</t>
        </is>
      </c>
      <c r="N73" s="9" t="inlineStr">
        <is>
          <t>no</t>
        </is>
      </c>
      <c r="O73" s="9" t="inlineStr">
        <is>
          <t>unknown</t>
        </is>
      </c>
      <c r="P73" s="9" t="inlineStr"/>
      <c r="Q73" s="9" t="n">
        <v>0</v>
      </c>
      <c r="R73" s="59" t="inlineStr">
        <is>
          <t>Its my common observation across all professionals that they are not at all well trained.</t>
        </is>
      </c>
      <c r="S73" s="9" t="inlineStr">
        <is>
          <t>service_quality</t>
        </is>
      </c>
      <c r="T73" s="9" t="inlineStr">
        <is>
          <t>service_quality</t>
        </is>
      </c>
      <c r="U73" s="59" t="inlineStr"/>
    </row>
    <row r="74">
      <c r="A74" s="9" t="n">
        <v>73</v>
      </c>
      <c r="B74" s="58" t="n">
        <v>46304</v>
      </c>
      <c r="C74" s="9" t="str">
        <f>TEXT(B74,"yyyy-mm")</f>
        <v>2026-10</v>
      </c>
      <c r="D74" s="9" t="n">
        <v>1</v>
      </c>
      <c r="E74" s="9" t="inlineStr">
        <is>
          <t>18.9.0</t>
        </is>
      </c>
      <c r="F74" s="59" t="inlineStr">
        <is>
          <t>Worst service app.</t>
        </is>
      </c>
      <c r="G74" s="59" t="inlineStr">
        <is>
          <t>Horrible assistance given by ‘[name]’ 
The appointment was booked twice with two different persons: ‘[name]’ and ‘[name]’. None of them had the courtesy to call and inform they are not available.
The website shows false slots available because no one was available at 9:00 AM as shown on the website. 
Would rather recommend any other companies or organization rather than Yes Madam. 
It’s a bit more than what yes madam charges but at least they provide good service and are on time.
Yes Madam, take this matter into serious consideration, and make sure to update your website slots mentioned and the person assisted for that service. Take some responsibility for better service, this is disappointment.</t>
        </is>
      </c>
      <c r="H74" s="9" t="inlineStr">
        <is>
          <t>partner_cancellation</t>
        </is>
      </c>
      <c r="I74" s="9" t="inlineStr">
        <is>
          <t>no_show</t>
        </is>
      </c>
      <c r="J74" s="9" t="inlineStr">
        <is>
          <t>app, support</t>
        </is>
      </c>
      <c r="K74" s="9" t="inlineStr">
        <is>
          <t>yes</t>
        </is>
      </c>
      <c r="L74" s="9" t="inlineStr">
        <is>
          <t>yes</t>
        </is>
      </c>
      <c r="M74" s="9" t="inlineStr">
        <is>
          <t>medium</t>
        </is>
      </c>
      <c r="N74" s="9" t="inlineStr">
        <is>
          <t>yes</t>
        </is>
      </c>
      <c r="O74" s="9" t="inlineStr">
        <is>
          <t>unknown</t>
        </is>
      </c>
      <c r="P74" s="9" t="inlineStr"/>
      <c r="Q74" s="9" t="n">
        <v>0</v>
      </c>
      <c r="R74" s="59" t="inlineStr">
        <is>
          <t>None of them had the courtesy to call and inform they are not available.</t>
        </is>
      </c>
      <c r="S74" s="9" t="inlineStr">
        <is>
          <t>partner_cancellation</t>
        </is>
      </c>
      <c r="T74" s="9" t="inlineStr">
        <is>
          <t>partner_cancellation</t>
        </is>
      </c>
      <c r="U74" s="59" t="inlineStr"/>
    </row>
    <row r="75">
      <c r="A75" s="9" t="n">
        <v>74</v>
      </c>
      <c r="B75" s="58" t="n">
        <v>46304</v>
      </c>
      <c r="C75" s="9" t="str">
        <f>TEXT(B75,"yyyy-mm")</f>
        <v>2026-10</v>
      </c>
      <c r="D75" s="9" t="n">
        <v>5</v>
      </c>
      <c r="E75" s="9" t="inlineStr">
        <is>
          <t>18.9.0</t>
        </is>
      </c>
      <c r="F75" s="59" t="inlineStr">
        <is>
          <t>Hydra facial</t>
        </is>
      </c>
      <c r="G75" s="59" t="inlineStr">
        <is>
          <t>That a great relaxing facial…[name] was very efficient with her work and did a fabulous job.</t>
        </is>
      </c>
      <c r="H75" s="9" t="inlineStr">
        <is>
          <t>praise</t>
        </is>
      </c>
      <c r="I75" s="9" t="inlineStr">
        <is>
          <t>praise_professional</t>
        </is>
      </c>
      <c r="J75" s="9" t="inlineStr"/>
      <c r="K75" s="9" t="inlineStr">
        <is>
          <t>no</t>
        </is>
      </c>
      <c r="L75" s="9" t="inlineStr">
        <is>
          <t>no</t>
        </is>
      </c>
      <c r="M75" s="9" t="inlineStr">
        <is>
          <t>none</t>
        </is>
      </c>
      <c r="N75" s="9" t="inlineStr">
        <is>
          <t>no</t>
        </is>
      </c>
      <c r="O75" s="9" t="inlineStr">
        <is>
          <t>facial_cleanup</t>
        </is>
      </c>
      <c r="P75" s="9" t="inlineStr"/>
      <c r="Q75" s="9" t="n">
        <v>0</v>
      </c>
      <c r="R75" s="59" t="inlineStr">
        <is>
          <t>That a great relaxing facial…[name] was very efficient with her work and did a fabulous job.</t>
        </is>
      </c>
      <c r="S75" s="9" t="inlineStr">
        <is>
          <t>praise</t>
        </is>
      </c>
      <c r="T75" s="9" t="inlineStr">
        <is>
          <t>praise</t>
        </is>
      </c>
      <c r="U75" s="59" t="inlineStr"/>
    </row>
    <row r="76">
      <c r="A76" s="9" t="n">
        <v>75</v>
      </c>
      <c r="B76" s="58" t="n">
        <v>46304</v>
      </c>
      <c r="C76" s="9" t="str">
        <f>TEXT(B76,"yyyy-mm")</f>
        <v>2026-10</v>
      </c>
      <c r="D76" s="9" t="n">
        <v>5</v>
      </c>
      <c r="E76" s="9" t="inlineStr">
        <is>
          <t>18.9.0</t>
        </is>
      </c>
      <c r="F76" s="59" t="inlineStr">
        <is>
          <t>Good service</t>
        </is>
      </c>
      <c r="G76" s="59" t="inlineStr">
        <is>
          <t>Good service</t>
        </is>
      </c>
      <c r="H76" s="9" t="inlineStr">
        <is>
          <t>praise</t>
        </is>
      </c>
      <c r="I76" s="9" t="inlineStr">
        <is>
          <t>praise_service</t>
        </is>
      </c>
      <c r="J76" s="9" t="inlineStr"/>
      <c r="K76" s="9" t="inlineStr">
        <is>
          <t>no</t>
        </is>
      </c>
      <c r="L76" s="9" t="inlineStr">
        <is>
          <t>no</t>
        </is>
      </c>
      <c r="M76" s="9" t="inlineStr">
        <is>
          <t>none</t>
        </is>
      </c>
      <c r="N76" s="9" t="inlineStr">
        <is>
          <t>no</t>
        </is>
      </c>
      <c r="O76" s="9" t="inlineStr">
        <is>
          <t>unknown</t>
        </is>
      </c>
      <c r="P76" s="9" t="inlineStr"/>
      <c r="Q76" s="9" t="n">
        <v>0</v>
      </c>
      <c r="R76" s="59" t="inlineStr">
        <is>
          <t>Good service</t>
        </is>
      </c>
      <c r="S76" s="9" t="inlineStr">
        <is>
          <t>praise</t>
        </is>
      </c>
      <c r="T76" s="9" t="inlineStr">
        <is>
          <t>praise</t>
        </is>
      </c>
      <c r="U76" s="59" t="inlineStr"/>
    </row>
    <row r="77">
      <c r="A77" s="9" t="n">
        <v>76</v>
      </c>
      <c r="B77" s="58" t="n">
        <v>46304</v>
      </c>
      <c r="C77" s="9" t="str">
        <f>TEXT(B77,"yyyy-mm")</f>
        <v>2026-10</v>
      </c>
      <c r="D77" s="9" t="n">
        <v>5</v>
      </c>
      <c r="E77" s="9" t="inlineStr">
        <is>
          <t>18.9.0</t>
        </is>
      </c>
      <c r="F77" s="59" t="inlineStr">
        <is>
          <t>New software update</t>
        </is>
      </c>
      <c r="G77" s="59" t="inlineStr">
        <is>
          <t>Unable to open app after the new update</t>
        </is>
      </c>
      <c r="H77" s="9" t="inlineStr">
        <is>
          <t>app</t>
        </is>
      </c>
      <c r="I77" s="9" t="inlineStr">
        <is>
          <t>crash_or_wont_open</t>
        </is>
      </c>
      <c r="J77" s="9" t="inlineStr"/>
      <c r="K77" s="9" t="inlineStr">
        <is>
          <t>no</t>
        </is>
      </c>
      <c r="L77" s="9" t="inlineStr">
        <is>
          <t>no</t>
        </is>
      </c>
      <c r="M77" s="9" t="inlineStr">
        <is>
          <t>low</t>
        </is>
      </c>
      <c r="N77" s="9" t="inlineStr">
        <is>
          <t>no</t>
        </is>
      </c>
      <c r="O77" s="9" t="inlineStr">
        <is>
          <t>unknown</t>
        </is>
      </c>
      <c r="P77" s="9" t="inlineStr"/>
      <c r="Q77" s="9" t="n">
        <v>0</v>
      </c>
      <c r="R77" s="59" t="inlineStr">
        <is>
          <t>Unable to open app after the new update</t>
        </is>
      </c>
      <c r="S77" s="9" t="inlineStr">
        <is>
          <t>app</t>
        </is>
      </c>
      <c r="T77" s="9" t="inlineStr">
        <is>
          <t>app</t>
        </is>
      </c>
      <c r="U77" s="59" t="inlineStr"/>
    </row>
    <row r="78">
      <c r="A78" s="9" t="n">
        <v>77</v>
      </c>
      <c r="B78" s="58" t="n">
        <v>46304</v>
      </c>
      <c r="C78" s="9" t="str">
        <f>TEXT(B78,"yyyy-mm")</f>
        <v>2026-10</v>
      </c>
      <c r="D78" s="9" t="n">
        <v>1</v>
      </c>
      <c r="E78" s="9" t="inlineStr">
        <is>
          <t>18.9.0</t>
        </is>
      </c>
      <c r="F78" s="59" t="inlineStr">
        <is>
          <t>Bluffing customers with free pedicure label on app</t>
        </is>
      </c>
      <c r="G78" s="59" t="inlineStr">
        <is>
          <t>I have tried adding other services and tried solo pedicure service also exactly at 1 pm multiple times. You guys are just bluffing this showing it as a promo so customers visit your page. You cannot mislead and earn long term customers.</t>
        </is>
      </c>
      <c r="H78" s="9" t="inlineStr">
        <is>
          <t>price_clarity</t>
        </is>
      </c>
      <c r="I78" s="9" t="inlineStr">
        <is>
          <t>offer_not_honoured</t>
        </is>
      </c>
      <c r="J78" s="9" t="inlineStr"/>
      <c r="K78" s="9" t="inlineStr">
        <is>
          <t>no</t>
        </is>
      </c>
      <c r="L78" s="9" t="inlineStr">
        <is>
          <t>no</t>
        </is>
      </c>
      <c r="M78" s="9" t="inlineStr">
        <is>
          <t>low</t>
        </is>
      </c>
      <c r="N78" s="9" t="inlineStr">
        <is>
          <t>no</t>
        </is>
      </c>
      <c r="O78" s="9" t="inlineStr">
        <is>
          <t>mani_pedi</t>
        </is>
      </c>
      <c r="P78" s="9" t="inlineStr"/>
      <c r="Q78" s="9" t="n">
        <v>0</v>
      </c>
      <c r="R78" s="59" t="inlineStr">
        <is>
          <t>You guys are just bluffing this showing it as a promo so customers visit your page.</t>
        </is>
      </c>
      <c r="S78" s="9" t="inlineStr">
        <is>
          <t>price_clarity</t>
        </is>
      </c>
      <c r="T78" s="9" t="inlineStr">
        <is>
          <t>price_clarity</t>
        </is>
      </c>
      <c r="U78" s="59" t="inlineStr"/>
    </row>
    <row r="79">
      <c r="A79" s="9" t="n">
        <v>78</v>
      </c>
      <c r="B79" s="58" t="n">
        <v>46304</v>
      </c>
      <c r="C79" s="9" t="str">
        <f>TEXT(B79,"yyyy-mm")</f>
        <v>2026-10</v>
      </c>
      <c r="D79" s="9" t="n">
        <v>3</v>
      </c>
      <c r="E79" s="9" t="inlineStr">
        <is>
          <t>18.9.0</t>
        </is>
      </c>
      <c r="F79" s="59" t="inlineStr">
        <is>
          <t>Free pedicure service</t>
        </is>
      </c>
      <c r="G79" s="59" t="inlineStr">
        <is>
          <t>There was a free pedicure option given for few days, where it starts at 1pm. The first 2 days the slots were already over by 1:02 pm. I tried to stay on the app 10mins before it starts and the moment it was 1pm I added the free pedicure service to my cart and immediately the screen went blank when I was about to view the services. After waiting for 5 minutes it said the services is unavailable and starts tomorrow again. This is very very bad. If you guys are providing a free services please be genuine.</t>
        </is>
      </c>
      <c r="H79" s="9" t="inlineStr">
        <is>
          <t>price_clarity</t>
        </is>
      </c>
      <c r="I79" s="9" t="inlineStr">
        <is>
          <t>offer_not_honoured</t>
        </is>
      </c>
      <c r="J79" s="9" t="inlineStr">
        <is>
          <t>app</t>
        </is>
      </c>
      <c r="K79" s="9" t="inlineStr">
        <is>
          <t>no</t>
        </is>
      </c>
      <c r="L79" s="9" t="inlineStr">
        <is>
          <t>no</t>
        </is>
      </c>
      <c r="M79" s="9" t="inlineStr">
        <is>
          <t>low</t>
        </is>
      </c>
      <c r="N79" s="9" t="inlineStr">
        <is>
          <t>no</t>
        </is>
      </c>
      <c r="O79" s="9" t="inlineStr">
        <is>
          <t>mani_pedi</t>
        </is>
      </c>
      <c r="P79" s="9" t="inlineStr"/>
      <c r="Q79" s="9" t="n">
        <v>0</v>
      </c>
      <c r="R79" s="59" t="inlineStr">
        <is>
          <t>The first 2 days the slots were already over by 1:02 pm.</t>
        </is>
      </c>
      <c r="S79" s="9" t="inlineStr">
        <is>
          <t>price_clarity</t>
        </is>
      </c>
      <c r="T79" s="9" t="inlineStr">
        <is>
          <t>price_clarity</t>
        </is>
      </c>
      <c r="U79" s="59" t="inlineStr"/>
    </row>
    <row r="80">
      <c r="A80" s="9" t="n">
        <v>79</v>
      </c>
      <c r="B80" s="58" t="n">
        <v>46304</v>
      </c>
      <c r="C80" s="9" t="str">
        <f>TEXT(B80,"yyyy-mm")</f>
        <v>2026-10</v>
      </c>
      <c r="D80" s="9" t="n">
        <v>1</v>
      </c>
      <c r="E80" s="9" t="inlineStr">
        <is>
          <t>18.9.0</t>
        </is>
      </c>
      <c r="F80" s="59" t="inlineStr">
        <is>
          <t>Glitch with page on app</t>
        </is>
      </c>
      <c r="G80" s="59" t="inlineStr">
        <is>
          <t>Worst experience with the app not with service. It will provide glitch with free offers and work good with normal service. I really hate that!.</t>
        </is>
      </c>
      <c r="H80" s="9" t="inlineStr">
        <is>
          <t>app</t>
        </is>
      </c>
      <c r="I80" s="9" t="inlineStr">
        <is>
          <t>booking_or_checkout_bug</t>
        </is>
      </c>
      <c r="J80" s="9" t="inlineStr">
        <is>
          <t>price_clarity</t>
        </is>
      </c>
      <c r="K80" s="9" t="inlineStr">
        <is>
          <t>no</t>
        </is>
      </c>
      <c r="L80" s="9" t="inlineStr">
        <is>
          <t>no</t>
        </is>
      </c>
      <c r="M80" s="9" t="inlineStr">
        <is>
          <t>low</t>
        </is>
      </c>
      <c r="N80" s="9" t="inlineStr">
        <is>
          <t>no</t>
        </is>
      </c>
      <c r="O80" s="9" t="inlineStr">
        <is>
          <t>unknown</t>
        </is>
      </c>
      <c r="P80" s="9" t="inlineStr"/>
      <c r="Q80" s="9" t="n">
        <v>0</v>
      </c>
      <c r="R80" s="59" t="inlineStr">
        <is>
          <t>Worst experience with the app not with service. It will provide glitch with free offers and work good with normal service.</t>
        </is>
      </c>
      <c r="S80" s="9" t="inlineStr">
        <is>
          <t>app</t>
        </is>
      </c>
      <c r="T80" s="9" t="inlineStr">
        <is>
          <t>app</t>
        </is>
      </c>
      <c r="U80" s="59" t="inlineStr"/>
    </row>
    <row r="81">
      <c r="A81" s="9" t="n">
        <v>80</v>
      </c>
      <c r="B81" s="58" t="n">
        <v>46303</v>
      </c>
      <c r="C81" s="9" t="str">
        <f>TEXT(B81,"yyyy-mm")</f>
        <v>2026-10</v>
      </c>
      <c r="D81" s="9" t="n">
        <v>5</v>
      </c>
      <c r="E81" s="9" t="inlineStr">
        <is>
          <t>18.9.0</t>
        </is>
      </c>
      <c r="F81" s="59" t="inlineStr">
        <is>
          <t>Yes Madam at its best</t>
        </is>
      </c>
      <c r="G81" s="59" t="inlineStr">
        <is>
          <t>Using YM for the first time &amp; I’m super impressed with the presentation and products used, Service done under well trained professional. Mrs [name] from Bangalore has executed the service so well with so much patience and dedication, she made sure each service was done properly and paid attention to every details, felt like I was pampered perfectly. The tiny goodies left behind as compliments made me feel all the more good. Way to go YM!! All the best:)</t>
        </is>
      </c>
      <c r="H81" s="9" t="inlineStr">
        <is>
          <t>praise</t>
        </is>
      </c>
      <c r="I81" s="9" t="inlineStr">
        <is>
          <t>praise_professional</t>
        </is>
      </c>
      <c r="J81" s="9" t="inlineStr"/>
      <c r="K81" s="9" t="inlineStr">
        <is>
          <t>no</t>
        </is>
      </c>
      <c r="L81" s="9" t="inlineStr">
        <is>
          <t>no</t>
        </is>
      </c>
      <c r="M81" s="9" t="inlineStr">
        <is>
          <t>none</t>
        </is>
      </c>
      <c r="N81" s="9" t="inlineStr">
        <is>
          <t>no</t>
        </is>
      </c>
      <c r="O81" s="9" t="inlineStr">
        <is>
          <t>unknown</t>
        </is>
      </c>
      <c r="P81" s="9" t="inlineStr">
        <is>
          <t>Bangalore</t>
        </is>
      </c>
      <c r="Q81" s="9" t="n">
        <v>0</v>
      </c>
      <c r="R81" s="59" t="inlineStr">
        <is>
          <t>Mrs [name] from Bangalore has executed the service so well with so much patience and dedication</t>
        </is>
      </c>
      <c r="S81" s="9" t="inlineStr">
        <is>
          <t>praise</t>
        </is>
      </c>
      <c r="T81" s="9" t="inlineStr">
        <is>
          <t>praise</t>
        </is>
      </c>
      <c r="U81" s="59" t="inlineStr"/>
    </row>
    <row r="82">
      <c r="A82" s="9" t="n">
        <v>81</v>
      </c>
      <c r="B82" s="58" t="n">
        <v>46303</v>
      </c>
      <c r="C82" s="9" t="str">
        <f>TEXT(B82,"yyyy-mm")</f>
        <v>2026-10</v>
      </c>
      <c r="D82" s="9" t="n">
        <v>1</v>
      </c>
      <c r="E82" s="9" t="inlineStr">
        <is>
          <t>18.9.0</t>
        </is>
      </c>
      <c r="F82" s="59" t="inlineStr">
        <is>
          <t>Súperficial and non reliable</t>
        </is>
      </c>
      <c r="G82" s="59" t="inlineStr">
        <is>
          <t>No control on your so “called” experts. Non reliable as you have no screening or training process</t>
        </is>
      </c>
      <c r="H82" s="9" t="inlineStr">
        <is>
          <t>service_quality</t>
        </is>
      </c>
      <c r="I82" s="9" t="inlineStr">
        <is>
          <t>poor_skill</t>
        </is>
      </c>
      <c r="J82" s="9" t="inlineStr"/>
      <c r="K82" s="9" t="inlineStr">
        <is>
          <t>no</t>
        </is>
      </c>
      <c r="L82" s="9" t="inlineStr">
        <is>
          <t>no</t>
        </is>
      </c>
      <c r="M82" s="9" t="inlineStr">
        <is>
          <t>medium</t>
        </is>
      </c>
      <c r="N82" s="9" t="inlineStr">
        <is>
          <t>no</t>
        </is>
      </c>
      <c r="O82" s="9" t="inlineStr">
        <is>
          <t>unknown</t>
        </is>
      </c>
      <c r="P82" s="9" t="inlineStr"/>
      <c r="Q82" s="9" t="n">
        <v>0</v>
      </c>
      <c r="R82" s="59" t="inlineStr">
        <is>
          <t>No control on your so “called” experts. Non reliable as you have no screening or training process</t>
        </is>
      </c>
      <c r="S82" s="9" t="inlineStr">
        <is>
          <t>service_quality</t>
        </is>
      </c>
      <c r="T82" s="9" t="inlineStr">
        <is>
          <t>service_quality</t>
        </is>
      </c>
      <c r="U82" s="59" t="inlineStr"/>
    </row>
    <row r="83">
      <c r="A83" s="9" t="n">
        <v>82</v>
      </c>
      <c r="B83" s="58" t="n">
        <v>46303</v>
      </c>
      <c r="C83" s="9" t="str">
        <f>TEXT(B83,"yyyy-mm")</f>
        <v>2026-10</v>
      </c>
      <c r="D83" s="9" t="n">
        <v>1</v>
      </c>
      <c r="E83" s="9" t="inlineStr">
        <is>
          <t>18.9.0</t>
        </is>
      </c>
      <c r="F83" s="59" t="inlineStr">
        <is>
          <t>They don’t value their customer</t>
        </is>
      </c>
      <c r="G83" s="59" t="inlineStr">
        <is>
          <t>I usually book UC, but this time I thought of booking yes madam. But their service is so bad. The lady didn’t appear only. I didn’t receive any call or msg stating that she won’t be able to come or will come late or anything. I tried calling her through app but no response. There was not every proper customer care which could connect. I booked service because I had to attend an event. And then after an hour when o spoke with customer she said mam we don’t have any slots for Friday. Please book for Saturday. I  anyways had to book UC only. Very unprofessional.</t>
        </is>
      </c>
      <c r="H83" s="9" t="inlineStr">
        <is>
          <t>partner_cancellation</t>
        </is>
      </c>
      <c r="I83" s="9" t="inlineStr">
        <is>
          <t>no_show</t>
        </is>
      </c>
      <c r="J83" s="9" t="inlineStr">
        <is>
          <t>support</t>
        </is>
      </c>
      <c r="K83" s="9" t="inlineStr">
        <is>
          <t>yes</t>
        </is>
      </c>
      <c r="L83" s="9" t="inlineStr">
        <is>
          <t>yes</t>
        </is>
      </c>
      <c r="M83" s="9" t="inlineStr">
        <is>
          <t>medium</t>
        </is>
      </c>
      <c r="N83" s="9" t="inlineStr">
        <is>
          <t>yes</t>
        </is>
      </c>
      <c r="O83" s="9" t="inlineStr">
        <is>
          <t>unknown</t>
        </is>
      </c>
      <c r="P83" s="9" t="inlineStr"/>
      <c r="Q83" s="9" t="n">
        <v>0</v>
      </c>
      <c r="R83" s="59" t="inlineStr">
        <is>
          <t>The lady didn’t appear only. I didn’t receive any call or msg stating that she won’t be able to come</t>
        </is>
      </c>
      <c r="S83" s="9" t="inlineStr">
        <is>
          <t>partner_cancellation</t>
        </is>
      </c>
      <c r="T83" s="9" t="inlineStr">
        <is>
          <t>partner_cancellation</t>
        </is>
      </c>
      <c r="U83" s="59" t="inlineStr"/>
    </row>
    <row r="84">
      <c r="A84" s="9" t="n">
        <v>83</v>
      </c>
      <c r="B84" s="58" t="n">
        <v>46303</v>
      </c>
      <c r="C84" s="9" t="str">
        <f>TEXT(B84,"yyyy-mm")</f>
        <v>2026-10</v>
      </c>
      <c r="D84" s="9" t="n">
        <v>5</v>
      </c>
      <c r="E84" s="9" t="inlineStr">
        <is>
          <t>18.9.0</t>
        </is>
      </c>
      <c r="F84" s="59" t="inlineStr">
        <is>
          <t>Hydra cleanup</t>
        </is>
      </c>
      <c r="G84" s="59" t="inlineStr">
        <is>
          <t>It was my first session for this treatment and miss [name] guided me very well during the treatment and after too it was a great experience.</t>
        </is>
      </c>
      <c r="H84" s="9" t="inlineStr">
        <is>
          <t>praise</t>
        </is>
      </c>
      <c r="I84" s="9" t="inlineStr">
        <is>
          <t>praise_professional</t>
        </is>
      </c>
      <c r="J84" s="9" t="inlineStr"/>
      <c r="K84" s="9" t="inlineStr">
        <is>
          <t>no</t>
        </is>
      </c>
      <c r="L84" s="9" t="inlineStr">
        <is>
          <t>no</t>
        </is>
      </c>
      <c r="M84" s="9" t="inlineStr">
        <is>
          <t>none</t>
        </is>
      </c>
      <c r="N84" s="9" t="inlineStr">
        <is>
          <t>no</t>
        </is>
      </c>
      <c r="O84" s="9" t="inlineStr">
        <is>
          <t>facial_cleanup</t>
        </is>
      </c>
      <c r="P84" s="9" t="inlineStr"/>
      <c r="Q84" s="9" t="n">
        <v>0</v>
      </c>
      <c r="R84" s="59" t="inlineStr">
        <is>
          <t>It was my first session for this treatment and miss [name] guided me very well during the treatment</t>
        </is>
      </c>
      <c r="S84" s="9" t="inlineStr">
        <is>
          <t>praise</t>
        </is>
      </c>
      <c r="T84" s="9" t="inlineStr">
        <is>
          <t>praise</t>
        </is>
      </c>
      <c r="U84" s="59" t="inlineStr"/>
    </row>
    <row r="85">
      <c r="A85" s="9" t="n">
        <v>84</v>
      </c>
      <c r="B85" s="58" t="n">
        <v>46303</v>
      </c>
      <c r="C85" s="9" t="str">
        <f>TEXT(B85,"yyyy-mm")</f>
        <v>2026-10</v>
      </c>
      <c r="D85" s="9" t="n">
        <v>1</v>
      </c>
      <c r="E85" s="9" t="inlineStr">
        <is>
          <t>18.9.0</t>
        </is>
      </c>
      <c r="F85" s="59" t="inlineStr">
        <is>
          <t>Yes madam is fooling customers</t>
        </is>
      </c>
      <c r="G85" s="59" t="inlineStr">
        <is>
          <t>Very bad experience with yes madam. Without even informing the customer they used a different products instead of what was booked. Moreover they are not even apologetic about it and dont refund your money. I never faced this issue ever with urban company. Yes madam is a real scamster. Please dont waste your money</t>
        </is>
      </c>
      <c r="H85" s="9" t="inlineStr">
        <is>
          <t>product_fit</t>
        </is>
      </c>
      <c r="I85" s="9" t="inlineStr">
        <is>
          <t>missing_or_wrong_products</t>
        </is>
      </c>
      <c r="J85" s="9" t="inlineStr">
        <is>
          <t>payment_refund</t>
        </is>
      </c>
      <c r="K85" s="9" t="inlineStr">
        <is>
          <t>no</t>
        </is>
      </c>
      <c r="L85" s="9" t="inlineStr">
        <is>
          <t>no</t>
        </is>
      </c>
      <c r="M85" s="9" t="inlineStr">
        <is>
          <t>high</t>
        </is>
      </c>
      <c r="N85" s="9" t="inlineStr">
        <is>
          <t>no</t>
        </is>
      </c>
      <c r="O85" s="9" t="inlineStr">
        <is>
          <t>unknown</t>
        </is>
      </c>
      <c r="P85" s="9" t="inlineStr"/>
      <c r="Q85" s="9" t="n">
        <v>0</v>
      </c>
      <c r="R85" s="59" t="inlineStr">
        <is>
          <t>Without even informing the customer they used a different products instead of what was booked.</t>
        </is>
      </c>
      <c r="S85" s="9" t="inlineStr">
        <is>
          <t>product_fit</t>
        </is>
      </c>
      <c r="T85" s="9" t="inlineStr">
        <is>
          <t>product_fit</t>
        </is>
      </c>
      <c r="U85" s="59" t="inlineStr"/>
    </row>
    <row r="86">
      <c r="A86" s="9" t="n">
        <v>85</v>
      </c>
      <c r="B86" s="58" t="n">
        <v>46303</v>
      </c>
      <c r="C86" s="9" t="str">
        <f>TEXT(B86,"yyyy-mm")</f>
        <v>2026-10</v>
      </c>
      <c r="D86" s="9" t="n">
        <v>1</v>
      </c>
      <c r="E86" s="9" t="inlineStr">
        <is>
          <t>18.9.0</t>
        </is>
      </c>
      <c r="F86" s="59" t="inlineStr">
        <is>
          <t>Horrible Service</t>
        </is>
      </c>
      <c r="G86" s="59" t="inlineStr">
        <is>
          <t>Totally undertrained employees horrible intimate wax service and horrible eyebrow service If there would have been an option for zero star I would have rated zero for this app. No courtesy to compensate also👎🏻👎🏻👎🏻👎🏻 I would suggest users to go to the cheapest parlour but not rely on Yesmadam</t>
        </is>
      </c>
      <c r="H86" s="9" t="inlineStr">
        <is>
          <t>service_quality</t>
        </is>
      </c>
      <c r="I86" s="9" t="inlineStr">
        <is>
          <t>poor_skill</t>
        </is>
      </c>
      <c r="J86" s="9" t="inlineStr">
        <is>
          <t>support</t>
        </is>
      </c>
      <c r="K86" s="9" t="inlineStr">
        <is>
          <t>no</t>
        </is>
      </c>
      <c r="L86" s="9" t="inlineStr">
        <is>
          <t>no</t>
        </is>
      </c>
      <c r="M86" s="9" t="inlineStr">
        <is>
          <t>medium</t>
        </is>
      </c>
      <c r="N86" s="9" t="inlineStr">
        <is>
          <t>no</t>
        </is>
      </c>
      <c r="O86" s="9" t="inlineStr">
        <is>
          <t>multiple</t>
        </is>
      </c>
      <c r="P86" s="9" t="inlineStr"/>
      <c r="Q86" s="9" t="n">
        <v>0</v>
      </c>
      <c r="R86" s="59" t="inlineStr">
        <is>
          <t>Totally undertrained employees horrible intimate wax service and horrible eyebrow service</t>
        </is>
      </c>
      <c r="S86" s="9" t="inlineStr">
        <is>
          <t>service_quality</t>
        </is>
      </c>
      <c r="T86" s="9" t="inlineStr">
        <is>
          <t>service_quality</t>
        </is>
      </c>
      <c r="U86" s="59" t="inlineStr"/>
    </row>
    <row r="87">
      <c r="A87" s="9" t="n">
        <v>86</v>
      </c>
      <c r="B87" s="58" t="n">
        <v>46303</v>
      </c>
      <c r="C87" s="9" t="str">
        <f>TEXT(B87,"yyyy-mm")</f>
        <v>2026-10</v>
      </c>
      <c r="D87" s="9" t="n">
        <v>1</v>
      </c>
      <c r="E87" s="9" t="inlineStr">
        <is>
          <t>18.9.0</t>
        </is>
      </c>
      <c r="F87" s="59" t="inlineStr">
        <is>
          <t>Fraud</t>
        </is>
      </c>
      <c r="G87" s="59" t="inlineStr">
        <is>
          <t>Fraud app</t>
        </is>
      </c>
      <c r="H87" s="9" t="inlineStr">
        <is>
          <t>other</t>
        </is>
      </c>
      <c r="I87" s="9" t="inlineStr">
        <is>
          <t>unclear</t>
        </is>
      </c>
      <c r="J87" s="9" t="inlineStr"/>
      <c r="K87" s="9" t="inlineStr">
        <is>
          <t>no</t>
        </is>
      </c>
      <c r="L87" s="9" t="inlineStr">
        <is>
          <t>no</t>
        </is>
      </c>
      <c r="M87" s="9" t="inlineStr">
        <is>
          <t>low</t>
        </is>
      </c>
      <c r="N87" s="9" t="inlineStr">
        <is>
          <t>no</t>
        </is>
      </c>
      <c r="O87" s="9" t="inlineStr">
        <is>
          <t>unknown</t>
        </is>
      </c>
      <c r="P87" s="9" t="inlineStr"/>
      <c r="Q87" s="9" t="n">
        <v>0</v>
      </c>
      <c r="R87" s="59" t="inlineStr">
        <is>
          <t>Fraud app</t>
        </is>
      </c>
      <c r="S87" s="9" t="inlineStr">
        <is>
          <t>other</t>
        </is>
      </c>
      <c r="T87" s="9" t="inlineStr">
        <is>
          <t>other</t>
        </is>
      </c>
      <c r="U87" s="59" t="inlineStr"/>
    </row>
    <row r="88">
      <c r="A88" s="9" t="n">
        <v>87</v>
      </c>
      <c r="B88" s="58" t="n">
        <v>46303</v>
      </c>
      <c r="C88" s="9" t="str">
        <f>TEXT(B88,"yyyy-mm")</f>
        <v>2026-10</v>
      </c>
      <c r="D88" s="9" t="n">
        <v>2</v>
      </c>
      <c r="E88" s="9" t="inlineStr">
        <is>
          <t>18.9.0</t>
        </is>
      </c>
      <c r="F88" s="59" t="inlineStr">
        <is>
          <t>Scam</t>
        </is>
      </c>
      <c r="G88" s="59" t="inlineStr">
        <is>
          <t>Free pedicure is a scam 
Whenever I try to book , it gets sold out</t>
        </is>
      </c>
      <c r="H88" s="9" t="inlineStr">
        <is>
          <t>price_clarity</t>
        </is>
      </c>
      <c r="I88" s="9" t="inlineStr">
        <is>
          <t>offer_not_honoured</t>
        </is>
      </c>
      <c r="J88" s="9" t="inlineStr"/>
      <c r="K88" s="9" t="inlineStr">
        <is>
          <t>no</t>
        </is>
      </c>
      <c r="L88" s="9" t="inlineStr">
        <is>
          <t>no</t>
        </is>
      </c>
      <c r="M88" s="9" t="inlineStr">
        <is>
          <t>low</t>
        </is>
      </c>
      <c r="N88" s="9" t="inlineStr">
        <is>
          <t>no</t>
        </is>
      </c>
      <c r="O88" s="9" t="inlineStr">
        <is>
          <t>mani_pedi</t>
        </is>
      </c>
      <c r="P88" s="9" t="inlineStr"/>
      <c r="Q88" s="9" t="n">
        <v>0</v>
      </c>
      <c r="R88" s="59" t="inlineStr">
        <is>
          <t>Free pedicure is a scam  Whenever I try to book , it gets sold out</t>
        </is>
      </c>
      <c r="S88" s="9" t="inlineStr">
        <is>
          <t>price_clarity</t>
        </is>
      </c>
      <c r="T88" s="9" t="inlineStr">
        <is>
          <t>price_clarity</t>
        </is>
      </c>
      <c r="U88" s="59" t="inlineStr"/>
    </row>
    <row r="89">
      <c r="A89" s="9" t="n">
        <v>88</v>
      </c>
      <c r="B89" s="58" t="n">
        <v>46302</v>
      </c>
      <c r="C89" s="9" t="str">
        <f>TEXT(B89,"yyyy-mm")</f>
        <v>2026-10</v>
      </c>
      <c r="D89" s="9" t="n">
        <v>5</v>
      </c>
      <c r="E89" s="9" t="inlineStr">
        <is>
          <t>18.8.0</t>
        </is>
      </c>
      <c r="F89" s="59" t="inlineStr">
        <is>
          <t>Services</t>
        </is>
      </c>
      <c r="G89" s="59" t="inlineStr">
        <is>
          <t>Good services and good products with expertise</t>
        </is>
      </c>
      <c r="H89" s="9" t="inlineStr">
        <is>
          <t>praise</t>
        </is>
      </c>
      <c r="I89" s="9" t="inlineStr">
        <is>
          <t>praise_service</t>
        </is>
      </c>
      <c r="J89" s="9" t="inlineStr"/>
      <c r="K89" s="9" t="inlineStr">
        <is>
          <t>no</t>
        </is>
      </c>
      <c r="L89" s="9" t="inlineStr">
        <is>
          <t>no</t>
        </is>
      </c>
      <c r="M89" s="9" t="inlineStr">
        <is>
          <t>none</t>
        </is>
      </c>
      <c r="N89" s="9" t="inlineStr">
        <is>
          <t>no</t>
        </is>
      </c>
      <c r="O89" s="9" t="inlineStr">
        <is>
          <t>unknown</t>
        </is>
      </c>
      <c r="P89" s="9" t="inlineStr"/>
      <c r="Q89" s="9" t="n">
        <v>0</v>
      </c>
      <c r="R89" s="59" t="inlineStr">
        <is>
          <t>Good services and good products with expertise</t>
        </is>
      </c>
      <c r="S89" s="9" t="inlineStr">
        <is>
          <t>praise</t>
        </is>
      </c>
      <c r="T89" s="9" t="inlineStr">
        <is>
          <t>praise</t>
        </is>
      </c>
      <c r="U89" s="59" t="inlineStr"/>
    </row>
    <row r="90">
      <c r="A90" s="9" t="n">
        <v>89</v>
      </c>
      <c r="B90" s="58" t="n">
        <v>46301</v>
      </c>
      <c r="C90" s="9" t="str">
        <f>TEXT(B90,"yyyy-mm")</f>
        <v>2026-10</v>
      </c>
      <c r="D90" s="9" t="n">
        <v>5</v>
      </c>
      <c r="E90" s="9" t="inlineStr">
        <is>
          <t>18.8.0</t>
        </is>
      </c>
      <c r="F90" s="59" t="inlineStr">
        <is>
          <t>[name]</t>
        </is>
      </c>
      <c r="G90" s="59" t="inlineStr">
        <is>
          <t>[name]</t>
        </is>
      </c>
      <c r="H90" s="9" t="inlineStr">
        <is>
          <t>praise</t>
        </is>
      </c>
      <c r="I90" s="9" t="inlineStr">
        <is>
          <t>praise_professional</t>
        </is>
      </c>
      <c r="J90" s="9" t="inlineStr"/>
      <c r="K90" s="9" t="inlineStr">
        <is>
          <t>no</t>
        </is>
      </c>
      <c r="L90" s="9" t="inlineStr">
        <is>
          <t>no</t>
        </is>
      </c>
      <c r="M90" s="9" t="inlineStr">
        <is>
          <t>none</t>
        </is>
      </c>
      <c r="N90" s="9" t="inlineStr">
        <is>
          <t>no</t>
        </is>
      </c>
      <c r="O90" s="9" t="inlineStr">
        <is>
          <t>unknown</t>
        </is>
      </c>
      <c r="P90" s="9" t="inlineStr"/>
      <c r="Q90" s="9" t="n">
        <v>0</v>
      </c>
      <c r="R90" s="59" t="inlineStr">
        <is>
          <t>[name]</t>
        </is>
      </c>
      <c r="S90" s="9" t="inlineStr">
        <is>
          <t>praise</t>
        </is>
      </c>
      <c r="T90" s="9" t="inlineStr">
        <is>
          <t>praise</t>
        </is>
      </c>
      <c r="U90" s="59" t="inlineStr"/>
    </row>
    <row r="91">
      <c r="A91" s="9" t="n">
        <v>90</v>
      </c>
      <c r="B91" s="58" t="n">
        <v>46300</v>
      </c>
      <c r="C91" s="9" t="str">
        <f>TEXT(B91,"yyyy-mm")</f>
        <v>2026-10</v>
      </c>
      <c r="D91" s="9" t="n">
        <v>5</v>
      </c>
      <c r="E91" s="9" t="inlineStr">
        <is>
          <t>18.8.0</t>
        </is>
      </c>
      <c r="F91" s="59" t="inlineStr">
        <is>
          <t>Best male massager</t>
        </is>
      </c>
      <c r="G91" s="59" t="inlineStr">
        <is>
          <t>First class spa service</t>
        </is>
      </c>
      <c r="H91" s="9" t="inlineStr">
        <is>
          <t>praise</t>
        </is>
      </c>
      <c r="I91" s="9" t="inlineStr">
        <is>
          <t>praise_professional</t>
        </is>
      </c>
      <c r="J91" s="9" t="inlineStr"/>
      <c r="K91" s="9" t="inlineStr">
        <is>
          <t>no</t>
        </is>
      </c>
      <c r="L91" s="9" t="inlineStr">
        <is>
          <t>no</t>
        </is>
      </c>
      <c r="M91" s="9" t="inlineStr">
        <is>
          <t>none</t>
        </is>
      </c>
      <c r="N91" s="9" t="inlineStr">
        <is>
          <t>no</t>
        </is>
      </c>
      <c r="O91" s="9" t="inlineStr">
        <is>
          <t>massage_spa</t>
        </is>
      </c>
      <c r="P91" s="9" t="inlineStr"/>
      <c r="Q91" s="9" t="n">
        <v>0</v>
      </c>
      <c r="R91" s="59" t="inlineStr">
        <is>
          <t>Best male massager | First class spa service</t>
        </is>
      </c>
      <c r="S91" s="9" t="inlineStr">
        <is>
          <t>praise</t>
        </is>
      </c>
      <c r="T91" s="9" t="inlineStr">
        <is>
          <t>praise</t>
        </is>
      </c>
      <c r="U91" s="59" t="inlineStr"/>
    </row>
    <row r="92">
      <c r="A92" s="9" t="n">
        <v>91</v>
      </c>
      <c r="B92" s="58" t="n">
        <v>46300</v>
      </c>
      <c r="C92" s="9" t="str">
        <f>TEXT(B92,"yyyy-mm")</f>
        <v>2026-10</v>
      </c>
      <c r="D92" s="9" t="n">
        <v>5</v>
      </c>
      <c r="E92" s="9" t="inlineStr">
        <is>
          <t>18.8.0</t>
        </is>
      </c>
      <c r="F92" s="59" t="inlineStr">
        <is>
          <t>I always prefer this service because of quality</t>
        </is>
      </c>
      <c r="G92" s="59" t="inlineStr">
        <is>
          <t>Really awesome service</t>
        </is>
      </c>
      <c r="H92" s="9" t="inlineStr">
        <is>
          <t>praise</t>
        </is>
      </c>
      <c r="I92" s="9" t="inlineStr">
        <is>
          <t>praise_service</t>
        </is>
      </c>
      <c r="J92" s="9" t="inlineStr"/>
      <c r="K92" s="9" t="inlineStr">
        <is>
          <t>no</t>
        </is>
      </c>
      <c r="L92" s="9" t="inlineStr">
        <is>
          <t>no</t>
        </is>
      </c>
      <c r="M92" s="9" t="inlineStr">
        <is>
          <t>none</t>
        </is>
      </c>
      <c r="N92" s="9" t="inlineStr">
        <is>
          <t>no</t>
        </is>
      </c>
      <c r="O92" s="9" t="inlineStr">
        <is>
          <t>unknown</t>
        </is>
      </c>
      <c r="P92" s="9" t="inlineStr"/>
      <c r="Q92" s="9" t="n">
        <v>0</v>
      </c>
      <c r="R92" s="59" t="inlineStr">
        <is>
          <t>I always prefer this service because of quality | Really awesome service</t>
        </is>
      </c>
      <c r="S92" s="9" t="inlineStr">
        <is>
          <t>praise</t>
        </is>
      </c>
      <c r="T92" s="9" t="inlineStr">
        <is>
          <t>praise</t>
        </is>
      </c>
      <c r="U92" s="59" t="inlineStr"/>
    </row>
    <row r="93">
      <c r="A93" s="9" t="n">
        <v>92</v>
      </c>
      <c r="B93" s="58" t="n">
        <v>46300</v>
      </c>
      <c r="C93" s="9" t="str">
        <f>TEXT(B93,"yyyy-mm")</f>
        <v>2026-10</v>
      </c>
      <c r="D93" s="9" t="n">
        <v>5</v>
      </c>
      <c r="E93" s="9" t="inlineStr">
        <is>
          <t>18.8.0</t>
        </is>
      </c>
      <c r="F93" s="59" t="inlineStr">
        <is>
          <t>[name]</t>
        </is>
      </c>
      <c r="G93" s="59" t="inlineStr">
        <is>
          <t>[name] is one of the most tenured and experienced beautician and works with best practice and ensures client satisfaction</t>
        </is>
      </c>
      <c r="H93" s="9" t="inlineStr">
        <is>
          <t>praise</t>
        </is>
      </c>
      <c r="I93" s="9" t="inlineStr">
        <is>
          <t>praise_professional</t>
        </is>
      </c>
      <c r="J93" s="9" t="inlineStr"/>
      <c r="K93" s="9" t="inlineStr">
        <is>
          <t>no</t>
        </is>
      </c>
      <c r="L93" s="9" t="inlineStr">
        <is>
          <t>no</t>
        </is>
      </c>
      <c r="M93" s="9" t="inlineStr">
        <is>
          <t>none</t>
        </is>
      </c>
      <c r="N93" s="9" t="inlineStr">
        <is>
          <t>no</t>
        </is>
      </c>
      <c r="O93" s="9" t="inlineStr">
        <is>
          <t>unknown</t>
        </is>
      </c>
      <c r="P93" s="9" t="inlineStr"/>
      <c r="Q93" s="9" t="n">
        <v>0</v>
      </c>
      <c r="R93" s="59" t="inlineStr">
        <is>
          <t>[name] is one of the most tenured and experienced beautician and works with best practice and ensures client satisfaction</t>
        </is>
      </c>
      <c r="S93" s="9" t="inlineStr">
        <is>
          <t>praise</t>
        </is>
      </c>
      <c r="T93" s="9" t="inlineStr">
        <is>
          <t>praise</t>
        </is>
      </c>
      <c r="U93" s="59" t="inlineStr"/>
    </row>
    <row r="94">
      <c r="A94" s="9" t="n">
        <v>93</v>
      </c>
      <c r="B94" s="58" t="n">
        <v>46300</v>
      </c>
      <c r="C94" s="9" t="str">
        <f>TEXT(B94,"yyyy-mm")</f>
        <v>2026-10</v>
      </c>
      <c r="D94" s="9" t="n">
        <v>1</v>
      </c>
      <c r="E94" s="9" t="inlineStr">
        <is>
          <t>18.8.0</t>
        </is>
      </c>
      <c r="F94" s="59" t="inlineStr">
        <is>
          <t>Fraud</t>
        </is>
      </c>
      <c r="G94" s="59" t="inlineStr">
        <is>
          <t>Absolutely fake offers, will never recommend anyone to use this app useless</t>
        </is>
      </c>
      <c r="H94" s="9" t="inlineStr">
        <is>
          <t>price_clarity</t>
        </is>
      </c>
      <c r="I94" s="9" t="inlineStr">
        <is>
          <t>offer_not_honoured</t>
        </is>
      </c>
      <c r="J94" s="9" t="inlineStr"/>
      <c r="K94" s="9" t="inlineStr">
        <is>
          <t>no</t>
        </is>
      </c>
      <c r="L94" s="9" t="inlineStr">
        <is>
          <t>no</t>
        </is>
      </c>
      <c r="M94" s="9" t="inlineStr">
        <is>
          <t>low</t>
        </is>
      </c>
      <c r="N94" s="9" t="inlineStr">
        <is>
          <t>no</t>
        </is>
      </c>
      <c r="O94" s="9" t="inlineStr">
        <is>
          <t>unknown</t>
        </is>
      </c>
      <c r="P94" s="9" t="inlineStr"/>
      <c r="Q94" s="9" t="n">
        <v>0</v>
      </c>
      <c r="R94" s="59" t="inlineStr">
        <is>
          <t>Absolutely fake offers, will never recommend anyone to use this app useless</t>
        </is>
      </c>
      <c r="S94" s="9" t="inlineStr">
        <is>
          <t>price_clarity</t>
        </is>
      </c>
      <c r="T94" s="9" t="inlineStr">
        <is>
          <t>price_clarity</t>
        </is>
      </c>
      <c r="U94" s="59" t="inlineStr"/>
    </row>
    <row r="95">
      <c r="A95" s="9" t="n">
        <v>94</v>
      </c>
      <c r="B95" s="58" t="n">
        <v>46299</v>
      </c>
      <c r="C95" s="9" t="str">
        <f>TEXT(B95,"yyyy-mm")</f>
        <v>2026-10</v>
      </c>
      <c r="D95" s="9" t="n">
        <v>1</v>
      </c>
      <c r="E95" s="9" t="inlineStr">
        <is>
          <t>18.8.0</t>
        </is>
      </c>
      <c r="F95" s="59" t="inlineStr">
        <is>
          <t>Always need update</t>
        </is>
      </c>
      <c r="G95" s="59" t="inlineStr">
        <is>
          <t>Why this app always want update I always update this app and without updating it. It does not work at all very bad.</t>
        </is>
      </c>
      <c r="H95" s="9" t="inlineStr">
        <is>
          <t>app</t>
        </is>
      </c>
      <c r="I95" s="9" t="inlineStr">
        <is>
          <t>other_app</t>
        </is>
      </c>
      <c r="J95" s="9" t="inlineStr"/>
      <c r="K95" s="9" t="inlineStr">
        <is>
          <t>no</t>
        </is>
      </c>
      <c r="L95" s="9" t="inlineStr">
        <is>
          <t>no</t>
        </is>
      </c>
      <c r="M95" s="9" t="inlineStr">
        <is>
          <t>low</t>
        </is>
      </c>
      <c r="N95" s="9" t="inlineStr">
        <is>
          <t>no</t>
        </is>
      </c>
      <c r="O95" s="9" t="inlineStr">
        <is>
          <t>unknown</t>
        </is>
      </c>
      <c r="P95" s="9" t="inlineStr"/>
      <c r="Q95" s="9" t="n">
        <v>0</v>
      </c>
      <c r="R95" s="59" t="inlineStr">
        <is>
          <t>Why this app always want update I always update this app and without updating it. It does not work at all</t>
        </is>
      </c>
      <c r="S95" s="9" t="inlineStr">
        <is>
          <t>app</t>
        </is>
      </c>
      <c r="T95" s="9" t="inlineStr">
        <is>
          <t>app</t>
        </is>
      </c>
      <c r="U95" s="59" t="inlineStr"/>
    </row>
    <row r="96">
      <c r="A96" s="9" t="n">
        <v>95</v>
      </c>
      <c r="B96" s="58" t="n">
        <v>46299</v>
      </c>
      <c r="C96" s="9" t="str">
        <f>TEXT(B96,"yyyy-mm")</f>
        <v>2026-10</v>
      </c>
      <c r="D96" s="9" t="n">
        <v>2</v>
      </c>
      <c r="E96" s="9" t="inlineStr">
        <is>
          <t>18.8.0</t>
        </is>
      </c>
      <c r="F96" s="59" t="inlineStr">
        <is>
          <t>Location</t>
        </is>
      </c>
      <c r="G96" s="59" t="inlineStr">
        <is>
          <t>Kindly rectify the glitch in your system with regards to location</t>
        </is>
      </c>
      <c r="H96" s="9" t="inlineStr">
        <is>
          <t>app</t>
        </is>
      </c>
      <c r="I96" s="9" t="inlineStr">
        <is>
          <t>other_app</t>
        </is>
      </c>
      <c r="J96" s="9" t="inlineStr"/>
      <c r="K96" s="9" t="inlineStr">
        <is>
          <t>no</t>
        </is>
      </c>
      <c r="L96" s="9" t="inlineStr">
        <is>
          <t>no</t>
        </is>
      </c>
      <c r="M96" s="9" t="inlineStr">
        <is>
          <t>low</t>
        </is>
      </c>
      <c r="N96" s="9" t="inlineStr">
        <is>
          <t>no</t>
        </is>
      </c>
      <c r="O96" s="9" t="inlineStr">
        <is>
          <t>unknown</t>
        </is>
      </c>
      <c r="P96" s="9" t="inlineStr"/>
      <c r="Q96" s="9" t="n">
        <v>0</v>
      </c>
      <c r="R96" s="59" t="inlineStr">
        <is>
          <t>Kindly rectify the glitch in your system with regards to location</t>
        </is>
      </c>
      <c r="S96" s="9" t="inlineStr">
        <is>
          <t>app</t>
        </is>
      </c>
      <c r="T96" s="9" t="inlineStr">
        <is>
          <t>app</t>
        </is>
      </c>
      <c r="U96" s="59" t="inlineStr"/>
    </row>
    <row r="97">
      <c r="A97" s="9" t="n">
        <v>96</v>
      </c>
      <c r="B97" s="58" t="n">
        <v>46298</v>
      </c>
      <c r="C97" s="9" t="str">
        <f>TEXT(B97,"yyyy-mm")</f>
        <v>2026-10</v>
      </c>
      <c r="D97" s="9" t="n">
        <v>5</v>
      </c>
      <c r="E97" s="9" t="inlineStr">
        <is>
          <t>18.8.0</t>
        </is>
      </c>
      <c r="F97" s="59" t="inlineStr">
        <is>
          <t>Suggestion for improving the booking experience:</t>
        </is>
      </c>
      <c r="G97" s="59" t="inlineStr">
        <is>
          <t>I booked a manicure &amp; pedicure for 4:00 PM, which takes around 1 hour 55 minutes, and a massage for 5:30 PM, which takes around 1 hour 30 minutes. Unfortunately, the two bookings overlapped, but the app did not show any warning or pop-up about the timing conflict.
It would be really helpful if the app could automatically detect overlapping bookings and show a notification such as: “Your selected services overlap. Please reschedule one of the services to an available time slot.”
This small feature would make the booking experience much smoother and help customers avoid scheduling conflicts. Overall, I like the service, but this would be a great improvement to the app.</t>
        </is>
      </c>
      <c r="H97" s="9" t="inlineStr">
        <is>
          <t>app</t>
        </is>
      </c>
      <c r="I97" s="9" t="inlineStr">
        <is>
          <t>booking_or_checkout_bug</t>
        </is>
      </c>
      <c r="J97" s="9" t="inlineStr"/>
      <c r="K97" s="9" t="inlineStr">
        <is>
          <t>no</t>
        </is>
      </c>
      <c r="L97" s="9" t="inlineStr">
        <is>
          <t>no</t>
        </is>
      </c>
      <c r="M97" s="9" t="inlineStr">
        <is>
          <t>low</t>
        </is>
      </c>
      <c r="N97" s="9" t="inlineStr">
        <is>
          <t>no</t>
        </is>
      </c>
      <c r="O97" s="9" t="inlineStr">
        <is>
          <t>multiple</t>
        </is>
      </c>
      <c r="P97" s="9" t="inlineStr"/>
      <c r="Q97" s="9" t="n">
        <v>0</v>
      </c>
      <c r="R97" s="59" t="inlineStr">
        <is>
          <t>Unfortunately, the two bookings overlapped, but the app did not show any warning or pop-up about the timing conflict.</t>
        </is>
      </c>
      <c r="S97" s="9" t="inlineStr">
        <is>
          <t>app</t>
        </is>
      </c>
      <c r="T97" s="9" t="inlineStr">
        <is>
          <t>app</t>
        </is>
      </c>
      <c r="U97" s="59" t="inlineStr"/>
    </row>
    <row r="98">
      <c r="A98" s="9" t="n">
        <v>97</v>
      </c>
      <c r="B98" s="58" t="n">
        <v>46298</v>
      </c>
      <c r="C98" s="9" t="str">
        <f>TEXT(B98,"yyyy-mm")</f>
        <v>2026-10</v>
      </c>
      <c r="D98" s="9" t="n">
        <v>5</v>
      </c>
      <c r="E98" s="9" t="inlineStr">
        <is>
          <t>18.8.0</t>
        </is>
      </c>
      <c r="F98" s="59" t="inlineStr">
        <is>
          <t>Service</t>
        </is>
      </c>
      <c r="G98" s="59" t="inlineStr">
        <is>
          <t>She was really good and  nice in her work. Great knowledge and execution.</t>
        </is>
      </c>
      <c r="H98" s="9" t="inlineStr">
        <is>
          <t>praise</t>
        </is>
      </c>
      <c r="I98" s="9" t="inlineStr">
        <is>
          <t>praise_professional</t>
        </is>
      </c>
      <c r="J98" s="9" t="inlineStr"/>
      <c r="K98" s="9" t="inlineStr">
        <is>
          <t>no</t>
        </is>
      </c>
      <c r="L98" s="9" t="inlineStr">
        <is>
          <t>no</t>
        </is>
      </c>
      <c r="M98" s="9" t="inlineStr">
        <is>
          <t>none</t>
        </is>
      </c>
      <c r="N98" s="9" t="inlineStr">
        <is>
          <t>no</t>
        </is>
      </c>
      <c r="O98" s="9" t="inlineStr">
        <is>
          <t>unknown</t>
        </is>
      </c>
      <c r="P98" s="9" t="inlineStr"/>
      <c r="Q98" s="9" t="n">
        <v>0</v>
      </c>
      <c r="R98" s="59" t="inlineStr">
        <is>
          <t>She was really good and  nice in her work. Great knowledge and execution.</t>
        </is>
      </c>
      <c r="S98" s="9" t="inlineStr">
        <is>
          <t>praise</t>
        </is>
      </c>
      <c r="T98" s="9" t="inlineStr">
        <is>
          <t>praise</t>
        </is>
      </c>
      <c r="U98" s="59" t="inlineStr"/>
    </row>
    <row r="99">
      <c r="A99" s="9" t="n">
        <v>98</v>
      </c>
      <c r="B99" s="58" t="n">
        <v>46298</v>
      </c>
      <c r="C99" s="9" t="str">
        <f>TEXT(B99,"yyyy-mm")</f>
        <v>2026-10</v>
      </c>
      <c r="D99" s="9" t="n">
        <v>3</v>
      </c>
      <c r="E99" s="9" t="inlineStr">
        <is>
          <t>18.8.0</t>
        </is>
      </c>
      <c r="F99" s="59" t="inlineStr">
        <is>
          <t>Confusing User Interface</t>
        </is>
      </c>
      <c r="G99" s="59" t="inlineStr">
        <is>
          <t>The User interface of this app is little bit confusing . Please improve it .</t>
        </is>
      </c>
      <c r="H99" s="9" t="inlineStr">
        <is>
          <t>app</t>
        </is>
      </c>
      <c r="I99" s="9" t="inlineStr">
        <is>
          <t>other_app</t>
        </is>
      </c>
      <c r="J99" s="9" t="inlineStr"/>
      <c r="K99" s="9" t="inlineStr">
        <is>
          <t>no</t>
        </is>
      </c>
      <c r="L99" s="9" t="inlineStr">
        <is>
          <t>no</t>
        </is>
      </c>
      <c r="M99" s="9" t="inlineStr">
        <is>
          <t>low</t>
        </is>
      </c>
      <c r="N99" s="9" t="inlineStr">
        <is>
          <t>no</t>
        </is>
      </c>
      <c r="O99" s="9" t="inlineStr">
        <is>
          <t>unknown</t>
        </is>
      </c>
      <c r="P99" s="9" t="inlineStr"/>
      <c r="Q99" s="9" t="n">
        <v>0</v>
      </c>
      <c r="R99" s="59" t="inlineStr">
        <is>
          <t>The User interface of this app is little bit confusing . Please improve it .</t>
        </is>
      </c>
      <c r="S99" s="9" t="inlineStr">
        <is>
          <t>app</t>
        </is>
      </c>
      <c r="T99" s="9" t="inlineStr">
        <is>
          <t>app</t>
        </is>
      </c>
      <c r="U99" s="59" t="inlineStr"/>
    </row>
    <row r="100">
      <c r="A100" s="9" t="n">
        <v>99</v>
      </c>
      <c r="B100" s="58" t="n">
        <v>46298</v>
      </c>
      <c r="C100" s="9" t="str">
        <f>TEXT(B100,"yyyy-mm")</f>
        <v>2026-10</v>
      </c>
      <c r="D100" s="9" t="n">
        <v>1</v>
      </c>
      <c r="E100" s="9" t="inlineStr">
        <is>
          <t>18.8.0</t>
        </is>
      </c>
      <c r="F100" s="59" t="inlineStr">
        <is>
          <t>Bad Service</t>
        </is>
      </c>
      <c r="G100" s="59" t="inlineStr">
        <is>
          <t>YesMadam are scammers. Poor service, fake promotional offers. I get so many notifications through out the day about the discounts and offers and none of the are applicable ever.
 There is a free pedicure offer going on and it sells out in 2 mins and the app crashes everytime you try to book the pedicure.</t>
        </is>
      </c>
      <c r="H100" s="9" t="inlineStr">
        <is>
          <t>price_clarity</t>
        </is>
      </c>
      <c r="I100" s="9" t="inlineStr">
        <is>
          <t>offer_not_honoured</t>
        </is>
      </c>
      <c r="J100" s="9" t="inlineStr">
        <is>
          <t>app</t>
        </is>
      </c>
      <c r="K100" s="9" t="inlineStr">
        <is>
          <t>no</t>
        </is>
      </c>
      <c r="L100" s="9" t="inlineStr">
        <is>
          <t>no</t>
        </is>
      </c>
      <c r="M100" s="9" t="inlineStr">
        <is>
          <t>low</t>
        </is>
      </c>
      <c r="N100" s="9" t="inlineStr">
        <is>
          <t>no</t>
        </is>
      </c>
      <c r="O100" s="9" t="inlineStr">
        <is>
          <t>mani_pedi</t>
        </is>
      </c>
      <c r="P100" s="9" t="inlineStr"/>
      <c r="Q100" s="9" t="n">
        <v>0</v>
      </c>
      <c r="R100" s="59" t="inlineStr">
        <is>
          <t>I get so many notifications through out the day about the discounts and offers and none of the are applicable ever.</t>
        </is>
      </c>
      <c r="S100" s="9" t="inlineStr">
        <is>
          <t>price_clarity</t>
        </is>
      </c>
      <c r="T100" s="9" t="inlineStr">
        <is>
          <t>price_clarity</t>
        </is>
      </c>
      <c r="U100" s="59" t="inlineStr"/>
    </row>
    <row r="101">
      <c r="A101" s="9" t="n">
        <v>100</v>
      </c>
      <c r="B101" s="58" t="n">
        <v>46298</v>
      </c>
      <c r="C101" s="9" t="str">
        <f>TEXT(B101,"yyyy-mm")</f>
        <v>2026-10</v>
      </c>
      <c r="D101" s="9" t="n">
        <v>1</v>
      </c>
      <c r="E101" s="9" t="inlineStr">
        <is>
          <t>18.8.0</t>
        </is>
      </c>
      <c r="F101" s="59" t="inlineStr">
        <is>
          <t>The foot massage</t>
        </is>
      </c>
      <c r="G101" s="59" t="inlineStr">
        <is>
          <t>I ordered the free foot massage and I was on time I added it to my cart but to check out the page wouldn’t load at all it’s a scam to lure you into downloading the app don’t fall for it cause when you check out the order from cart the page just won’t load</t>
        </is>
      </c>
      <c r="H101" s="9" t="inlineStr">
        <is>
          <t>price_clarity</t>
        </is>
      </c>
      <c r="I101" s="9" t="inlineStr">
        <is>
          <t>offer_not_honoured</t>
        </is>
      </c>
      <c r="J101" s="9" t="inlineStr">
        <is>
          <t>app</t>
        </is>
      </c>
      <c r="K101" s="9" t="inlineStr">
        <is>
          <t>no</t>
        </is>
      </c>
      <c r="L101" s="9" t="inlineStr">
        <is>
          <t>no</t>
        </is>
      </c>
      <c r="M101" s="9" t="inlineStr">
        <is>
          <t>low</t>
        </is>
      </c>
      <c r="N101" s="9" t="inlineStr">
        <is>
          <t>no</t>
        </is>
      </c>
      <c r="O101" s="9" t="inlineStr">
        <is>
          <t>massage_spa</t>
        </is>
      </c>
      <c r="P101" s="9" t="inlineStr"/>
      <c r="Q101" s="9" t="n">
        <v>0</v>
      </c>
      <c r="R101" s="59" t="inlineStr">
        <is>
          <t>I added it to my cart but to check out the page wouldn’t load at all it’s a scam to lure you</t>
        </is>
      </c>
      <c r="S101" s="9" t="inlineStr">
        <is>
          <t>price_clarity</t>
        </is>
      </c>
      <c r="T101" s="9" t="inlineStr">
        <is>
          <t>price_clarity</t>
        </is>
      </c>
      <c r="U101" s="59" t="inlineStr"/>
    </row>
    <row r="102">
      <c r="A102" s="9" t="n">
        <v>101</v>
      </c>
      <c r="B102" s="58" t="n">
        <v>46298</v>
      </c>
      <c r="C102" s="9" t="str">
        <f>TEXT(B102,"yyyy-mm")</f>
        <v>2026-10</v>
      </c>
      <c r="D102" s="9" t="n">
        <v>2</v>
      </c>
      <c r="E102" s="9" t="inlineStr">
        <is>
          <t>18.8.0</t>
        </is>
      </c>
      <c r="F102" s="59" t="inlineStr">
        <is>
          <t>Worst App ever</t>
        </is>
      </c>
      <c r="G102" s="59" t="inlineStr">
        <is>
          <t>One of the worst beauty app, any offer is running app will always be hanging on the order page, support team is always unavailable, quality and hygine is also poor</t>
        </is>
      </c>
      <c r="H102" s="9" t="inlineStr">
        <is>
          <t>app</t>
        </is>
      </c>
      <c r="I102" s="9" t="inlineStr">
        <is>
          <t>booking_or_checkout_bug</t>
        </is>
      </c>
      <c r="J102" s="9" t="inlineStr">
        <is>
          <t>support, service_quality</t>
        </is>
      </c>
      <c r="K102" s="9" t="inlineStr">
        <is>
          <t>yes</t>
        </is>
      </c>
      <c r="L102" s="9" t="inlineStr">
        <is>
          <t>yes</t>
        </is>
      </c>
      <c r="M102" s="9" t="inlineStr">
        <is>
          <t>medium</t>
        </is>
      </c>
      <c r="N102" s="9" t="inlineStr">
        <is>
          <t>no</t>
        </is>
      </c>
      <c r="O102" s="9" t="inlineStr">
        <is>
          <t>unknown</t>
        </is>
      </c>
      <c r="P102" s="9" t="inlineStr"/>
      <c r="Q102" s="9" t="n">
        <v>0</v>
      </c>
      <c r="R102" s="59" t="inlineStr">
        <is>
          <t>any offer is running app will always be hanging on the order page, support team is always unavailable</t>
        </is>
      </c>
      <c r="S102" s="9" t="inlineStr">
        <is>
          <t>app</t>
        </is>
      </c>
      <c r="T102" s="9" t="inlineStr">
        <is>
          <t>app</t>
        </is>
      </c>
      <c r="U102" s="59" t="inlineStr"/>
    </row>
    <row r="103">
      <c r="A103" s="9" t="n">
        <v>102</v>
      </c>
      <c r="B103" s="58" t="n">
        <v>46297</v>
      </c>
      <c r="C103" s="9" t="str">
        <f>TEXT(B103,"yyyy-mm")</f>
        <v>2026-10</v>
      </c>
      <c r="D103" s="9" t="n">
        <v>4</v>
      </c>
      <c r="E103" s="9" t="inlineStr">
        <is>
          <t>18.8.0</t>
        </is>
      </c>
      <c r="F103" s="59" t="inlineStr">
        <is>
          <t>Review</t>
        </is>
      </c>
      <c r="G103" s="59" t="inlineStr">
        <is>
          <t>Service is good but some service charges are not wroth it. Also customise options for specific services are not available</t>
        </is>
      </c>
      <c r="H103" s="9" t="inlineStr">
        <is>
          <t>price_clarity</t>
        </is>
      </c>
      <c r="I103" s="9" t="inlineStr">
        <is>
          <t>hidden_charges</t>
        </is>
      </c>
      <c r="J103" s="9" t="inlineStr">
        <is>
          <t>other</t>
        </is>
      </c>
      <c r="K103" s="9" t="inlineStr">
        <is>
          <t>no</t>
        </is>
      </c>
      <c r="L103" s="9" t="inlineStr">
        <is>
          <t>no</t>
        </is>
      </c>
      <c r="M103" s="9" t="inlineStr">
        <is>
          <t>low</t>
        </is>
      </c>
      <c r="N103" s="9" t="inlineStr">
        <is>
          <t>no</t>
        </is>
      </c>
      <c r="O103" s="9" t="inlineStr">
        <is>
          <t>unknown</t>
        </is>
      </c>
      <c r="P103" s="9" t="inlineStr"/>
      <c r="Q103" s="9" t="n">
        <v>0</v>
      </c>
      <c r="R103" s="59" t="inlineStr">
        <is>
          <t>Service is good but some service charges are not wroth it. Also customise options for specific services are not available</t>
        </is>
      </c>
      <c r="S103" s="9" t="inlineStr">
        <is>
          <t>price_clarity</t>
        </is>
      </c>
      <c r="T103" s="9" t="inlineStr">
        <is>
          <t>price_clarity</t>
        </is>
      </c>
      <c r="U103" s="59" t="inlineStr"/>
    </row>
    <row r="104">
      <c r="A104" s="9" t="n">
        <v>103</v>
      </c>
      <c r="B104" s="58" t="n">
        <v>46296</v>
      </c>
      <c r="C104" s="9" t="str">
        <f>TEXT(B104,"yyyy-mm")</f>
        <v>2026-10</v>
      </c>
      <c r="D104" s="9" t="n">
        <v>1</v>
      </c>
      <c r="E104" s="9" t="inlineStr">
        <is>
          <t>18.8.0</t>
        </is>
      </c>
      <c r="F104" s="59" t="inlineStr">
        <is>
          <t>Worst service</t>
        </is>
      </c>
      <c r="G104" s="59" t="inlineStr">
        <is>
          <t>They are just the worst. They will cancel the booking one night before with a made-up story and the slots are never available. Urban Company anytime over this.</t>
        </is>
      </c>
      <c r="H104" s="9" t="inlineStr">
        <is>
          <t>partner_cancellation</t>
        </is>
      </c>
      <c r="I104" s="9" t="inlineStr">
        <is>
          <t>last_minute_cancel</t>
        </is>
      </c>
      <c r="J104" s="9" t="inlineStr">
        <is>
          <t>app</t>
        </is>
      </c>
      <c r="K104" s="9" t="inlineStr">
        <is>
          <t>no</t>
        </is>
      </c>
      <c r="L104" s="9" t="inlineStr">
        <is>
          <t>no</t>
        </is>
      </c>
      <c r="M104" s="9" t="inlineStr">
        <is>
          <t>medium</t>
        </is>
      </c>
      <c r="N104" s="9" t="inlineStr">
        <is>
          <t>yes</t>
        </is>
      </c>
      <c r="O104" s="9" t="inlineStr">
        <is>
          <t>unknown</t>
        </is>
      </c>
      <c r="P104" s="9" t="inlineStr"/>
      <c r="Q104" s="9" t="n">
        <v>0</v>
      </c>
      <c r="R104" s="59" t="inlineStr">
        <is>
          <t>They will cancel the booking one night before with a made-up story and the slots are never available.</t>
        </is>
      </c>
      <c r="S104" s="9" t="inlineStr">
        <is>
          <t>partner_cancellation</t>
        </is>
      </c>
      <c r="T104" s="9" t="inlineStr">
        <is>
          <t>partner_cancellation</t>
        </is>
      </c>
      <c r="U104" s="59" t="inlineStr"/>
    </row>
    <row r="105">
      <c r="A105" s="9" t="n">
        <v>104</v>
      </c>
      <c r="B105" s="58" t="n">
        <v>46296</v>
      </c>
      <c r="C105" s="9" t="str">
        <f>TEXT(B105,"yyyy-mm")</f>
        <v>2026-10</v>
      </c>
      <c r="D105" s="9" t="n">
        <v>1</v>
      </c>
      <c r="E105" s="9" t="inlineStr">
        <is>
          <t>18.8.0</t>
        </is>
      </c>
      <c r="F105" s="59" t="inlineStr">
        <is>
          <t>Pathetic service</t>
        </is>
      </c>
      <c r="G105" s="59" t="inlineStr">
        <is>
          <t>I am writing this to share my terrible experience so others don't waste their hard-earned money.
I booked an at-home massage service expecting relaxation and professional care. Instead, what I received was completely sub-par and unprofessional. The therapist lacked basic hygiene protocols and essentially just rubbed oil with zero effort or proper massage technique.
To make matters worse, their customer support is completely non-existent. I reached out via email over 1.5 months ago. All I received were template automated replies ("Sorry for the bad experience, we will reach out") asking for my booking details. Since then? Total silence. No follow-up calls, no accountability, and zero management oversight.
They promised a resolution—including a refund/discount coupons—to make up for the awful service, but nothing was ever provided. It’s clear they don't care about client satisfaction or safety once they receive payment.
Please think twice before booking their services.</t>
        </is>
      </c>
      <c r="H105" s="9" t="inlineStr">
        <is>
          <t>service_quality</t>
        </is>
      </c>
      <c r="I105" s="9" t="inlineStr">
        <is>
          <t>poor_skill</t>
        </is>
      </c>
      <c r="J105" s="9" t="inlineStr">
        <is>
          <t>support, payment_refund</t>
        </is>
      </c>
      <c r="K105" s="9" t="inlineStr">
        <is>
          <t>yes</t>
        </is>
      </c>
      <c r="L105" s="9" t="inlineStr">
        <is>
          <t>yes</t>
        </is>
      </c>
      <c r="M105" s="9" t="inlineStr">
        <is>
          <t>medium</t>
        </is>
      </c>
      <c r="N105" s="9" t="inlineStr">
        <is>
          <t>no</t>
        </is>
      </c>
      <c r="O105" s="9" t="inlineStr">
        <is>
          <t>massage_spa</t>
        </is>
      </c>
      <c r="P105" s="9" t="inlineStr"/>
      <c r="Q105" s="9" t="n">
        <v>0</v>
      </c>
      <c r="R105" s="59" t="inlineStr">
        <is>
          <t>The therapist lacked basic hygiene protocols and essentially just rubbed oil with zero effort or proper massage technique.</t>
        </is>
      </c>
      <c r="S105" s="9" t="inlineStr">
        <is>
          <t>service_quality</t>
        </is>
      </c>
      <c r="T105" s="9" t="inlineStr">
        <is>
          <t>service_quality</t>
        </is>
      </c>
      <c r="U105" s="59" t="inlineStr"/>
    </row>
    <row r="106">
      <c r="A106" s="9" t="n">
        <v>105</v>
      </c>
      <c r="B106" s="58" t="n">
        <v>46295</v>
      </c>
      <c r="C106" s="9" t="str">
        <f>TEXT(B106,"yyyy-mm")</f>
        <v>2026-09</v>
      </c>
      <c r="D106" s="9" t="n">
        <v>1</v>
      </c>
      <c r="E106" s="9" t="inlineStr">
        <is>
          <t>18.8.0</t>
        </is>
      </c>
      <c r="F106" s="59" t="inlineStr">
        <is>
          <t>Took soundarya facial but offered korean facial</t>
        </is>
      </c>
      <c r="G106" s="59" t="inlineStr">
        <is>
          <t>Burnt my skin and despite so many complaints nobody contacted and did anything. Not sure which kinda product they use. Better go to renowned saloon than use these kinda cheap app for saving couple of bucks</t>
        </is>
      </c>
      <c r="H106" s="9" t="inlineStr">
        <is>
          <t>product_fit</t>
        </is>
      </c>
      <c r="I106" s="9" t="inlineStr">
        <is>
          <t>product_reaction</t>
        </is>
      </c>
      <c r="J106" s="9" t="inlineStr">
        <is>
          <t>support, service_quality</t>
        </is>
      </c>
      <c r="K106" s="9" t="inlineStr">
        <is>
          <t>yes</t>
        </is>
      </c>
      <c r="L106" s="9" t="inlineStr">
        <is>
          <t>yes</t>
        </is>
      </c>
      <c r="M106" s="9" t="inlineStr">
        <is>
          <t>high</t>
        </is>
      </c>
      <c r="N106" s="9" t="inlineStr">
        <is>
          <t>yes</t>
        </is>
      </c>
      <c r="O106" s="9" t="inlineStr">
        <is>
          <t>facial_cleanup</t>
        </is>
      </c>
      <c r="P106" s="9" t="inlineStr"/>
      <c r="Q106" s="9" t="n">
        <v>0</v>
      </c>
      <c r="R106" s="59" t="inlineStr">
        <is>
          <t>Burnt my skin and despite so many complaints nobody contacted and did anything. Not sure which kinda product they use.</t>
        </is>
      </c>
      <c r="S106" s="9" t="inlineStr">
        <is>
          <t>product_fit</t>
        </is>
      </c>
      <c r="T106" s="9" t="inlineStr">
        <is>
          <t>service_quality</t>
        </is>
      </c>
      <c r="U106" s="59" t="inlineStr">
        <is>
          <t>Facial burnt her skin and the only cause she points to is the product ('not sure which kinda product they use'), on a swapped facial; no technique blamed; support non-response is secondary (rule 1).</t>
        </is>
      </c>
    </row>
    <row r="107">
      <c r="A107" s="9" t="n">
        <v>106</v>
      </c>
      <c r="B107" s="58" t="n">
        <v>46295</v>
      </c>
      <c r="C107" s="9" t="str">
        <f>TEXT(B107,"yyyy-mm")</f>
        <v>2026-09</v>
      </c>
      <c r="D107" s="9" t="n">
        <v>1</v>
      </c>
      <c r="E107" s="9" t="inlineStr">
        <is>
          <t>18.8.0</t>
        </is>
      </c>
      <c r="F107" s="59" t="inlineStr">
        <is>
          <t>Fraudulent Company</t>
        </is>
      </c>
      <c r="G107" s="59" t="inlineStr">
        <is>
          <t>I booked a salon service from them. First the service provider lady didn’t come on the time of service, second she didn’t even have an audacity to inform that she will not be able to make it , third she never called me for address or details so i was sceptical once the time crossed . I called the help centre for which they forced me to book another slot which i couldn’t so they just gave me 100 rs voucher or something only to realise it never made to my wallet or voucher section. Cherry on cake is they send me WhatsApp message that 400 is credited to your yes madam account , which never was or is credited! Such lies and scams on this level when the company has some reputation building up
now! Thankfully UC came for rescue and service was done just in another hour! Disappointing and Pathetic Experience</t>
        </is>
      </c>
      <c r="H107" s="9" t="inlineStr">
        <is>
          <t>partner_cancellation</t>
        </is>
      </c>
      <c r="I107" s="9" t="inlineStr">
        <is>
          <t>no_show</t>
        </is>
      </c>
      <c r="J107" s="9" t="inlineStr">
        <is>
          <t>payment_refund, support, price_clarity</t>
        </is>
      </c>
      <c r="K107" s="9" t="inlineStr">
        <is>
          <t>yes</t>
        </is>
      </c>
      <c r="L107" s="9" t="inlineStr">
        <is>
          <t>yes</t>
        </is>
      </c>
      <c r="M107" s="9" t="inlineStr">
        <is>
          <t>medium</t>
        </is>
      </c>
      <c r="N107" s="9" t="inlineStr">
        <is>
          <t>yes</t>
        </is>
      </c>
      <c r="O107" s="9" t="inlineStr">
        <is>
          <t>unknown</t>
        </is>
      </c>
      <c r="P107" s="9" t="inlineStr"/>
      <c r="Q107" s="9" t="n">
        <v>100</v>
      </c>
      <c r="R107" s="59" t="inlineStr">
        <is>
          <t>First the service provider lady didn’t come on the time of service, second she didn’t even have an audacity to inform</t>
        </is>
      </c>
      <c r="S107" s="9" t="inlineStr">
        <is>
          <t>partner_cancellation</t>
        </is>
      </c>
      <c r="T107" s="9" t="inlineStr">
        <is>
          <t>partner_cancellation</t>
        </is>
      </c>
      <c r="U107" s="59" t="inlineStr"/>
    </row>
    <row r="108">
      <c r="A108" s="9" t="n">
        <v>107</v>
      </c>
      <c r="B108" s="58" t="n">
        <v>46295</v>
      </c>
      <c r="C108" s="9" t="str">
        <f>TEXT(B108,"yyyy-mm")</f>
        <v>2026-09</v>
      </c>
      <c r="D108" s="9" t="n">
        <v>1</v>
      </c>
      <c r="E108" s="9" t="inlineStr">
        <is>
          <t>18.8.0</t>
        </is>
      </c>
      <c r="F108" s="59" t="inlineStr">
        <is>
          <t>Extremely poor staff quality</t>
        </is>
      </c>
      <c r="G108" s="59" t="inlineStr">
        <is>
          <t>5 experiences and all of them very horrible. Highly unprofessional. Poor communication skills. Not recommended. Cheap service providers with cheap quality. Won’t recommend.</t>
        </is>
      </c>
      <c r="H108" s="9" t="inlineStr">
        <is>
          <t>service_quality</t>
        </is>
      </c>
      <c r="I108" s="9" t="inlineStr">
        <is>
          <t>poor_skill</t>
        </is>
      </c>
      <c r="J108" s="9" t="inlineStr"/>
      <c r="K108" s="9" t="inlineStr">
        <is>
          <t>no</t>
        </is>
      </c>
      <c r="L108" s="9" t="inlineStr">
        <is>
          <t>no</t>
        </is>
      </c>
      <c r="M108" s="9" t="inlineStr">
        <is>
          <t>medium</t>
        </is>
      </c>
      <c r="N108" s="9" t="inlineStr">
        <is>
          <t>no</t>
        </is>
      </c>
      <c r="O108" s="9" t="inlineStr">
        <is>
          <t>unknown</t>
        </is>
      </c>
      <c r="P108" s="9" t="inlineStr"/>
      <c r="Q108" s="9" t="n">
        <v>0</v>
      </c>
      <c r="R108" s="59" t="inlineStr">
        <is>
          <t>5 experiences and all of them very horrible. Highly unprofessional. Poor communication skills. Not recommended.</t>
        </is>
      </c>
      <c r="S108" s="9" t="inlineStr">
        <is>
          <t>service_quality</t>
        </is>
      </c>
      <c r="T108" s="9" t="inlineStr">
        <is>
          <t>service_quality</t>
        </is>
      </c>
      <c r="U108" s="59" t="inlineStr"/>
    </row>
    <row r="109">
      <c r="A109" s="9" t="n">
        <v>108</v>
      </c>
      <c r="B109" s="58" t="n">
        <v>46295</v>
      </c>
      <c r="C109" s="9" t="str">
        <f>TEXT(B109,"yyyy-mm")</f>
        <v>2026-09</v>
      </c>
      <c r="D109" s="9" t="n">
        <v>5</v>
      </c>
      <c r="E109" s="9" t="inlineStr">
        <is>
          <t>18.8.0</t>
        </is>
      </c>
      <c r="F109" s="59" t="inlineStr">
        <is>
          <t>Waxing Service</t>
        </is>
      </c>
      <c r="G109" s="59" t="inlineStr">
        <is>
          <t>[name] was wonderful with her service. I would definitely book her next time !</t>
        </is>
      </c>
      <c r="H109" s="9" t="inlineStr">
        <is>
          <t>praise</t>
        </is>
      </c>
      <c r="I109" s="9" t="inlineStr">
        <is>
          <t>praise_professional</t>
        </is>
      </c>
      <c r="J109" s="9" t="inlineStr"/>
      <c r="K109" s="9" t="inlineStr">
        <is>
          <t>no</t>
        </is>
      </c>
      <c r="L109" s="9" t="inlineStr">
        <is>
          <t>no</t>
        </is>
      </c>
      <c r="M109" s="9" t="inlineStr">
        <is>
          <t>none</t>
        </is>
      </c>
      <c r="N109" s="9" t="inlineStr">
        <is>
          <t>no</t>
        </is>
      </c>
      <c r="O109" s="9" t="inlineStr">
        <is>
          <t>waxing</t>
        </is>
      </c>
      <c r="P109" s="9" t="inlineStr"/>
      <c r="Q109" s="9" t="n">
        <v>0</v>
      </c>
      <c r="R109" s="59" t="inlineStr">
        <is>
          <t>[name] was wonderful with her service. I would definitely book her next time !</t>
        </is>
      </c>
      <c r="S109" s="9" t="inlineStr">
        <is>
          <t>praise</t>
        </is>
      </c>
      <c r="T109" s="9" t="inlineStr">
        <is>
          <t>praise</t>
        </is>
      </c>
      <c r="U109" s="59" t="inlineStr"/>
    </row>
    <row r="110">
      <c r="A110" s="9" t="n">
        <v>109</v>
      </c>
      <c r="B110" s="58" t="n">
        <v>46295</v>
      </c>
      <c r="C110" s="9" t="str">
        <f>TEXT(B110,"yyyy-mm")</f>
        <v>2026-09</v>
      </c>
      <c r="D110" s="9" t="n">
        <v>2</v>
      </c>
      <c r="E110" s="9" t="inlineStr">
        <is>
          <t>18.8.0</t>
        </is>
      </c>
      <c r="F110" s="59" t="inlineStr">
        <is>
          <t>Price</t>
        </is>
      </c>
      <c r="G110" s="59" t="inlineStr">
        <is>
          <t>Prices are high</t>
        </is>
      </c>
      <c r="H110" s="9" t="inlineStr">
        <is>
          <t>other</t>
        </is>
      </c>
      <c r="I110" s="9" t="inlineStr">
        <is>
          <t>other_issue</t>
        </is>
      </c>
      <c r="J110" s="9" t="inlineStr"/>
      <c r="K110" s="9" t="inlineStr">
        <is>
          <t>no</t>
        </is>
      </c>
      <c r="L110" s="9" t="inlineStr">
        <is>
          <t>no</t>
        </is>
      </c>
      <c r="M110" s="9" t="inlineStr">
        <is>
          <t>low</t>
        </is>
      </c>
      <c r="N110" s="9" t="inlineStr">
        <is>
          <t>no</t>
        </is>
      </c>
      <c r="O110" s="9" t="inlineStr">
        <is>
          <t>unknown</t>
        </is>
      </c>
      <c r="P110" s="9" t="inlineStr"/>
      <c r="Q110" s="9" t="n">
        <v>0</v>
      </c>
      <c r="R110" s="59" t="inlineStr">
        <is>
          <t>Prices are high</t>
        </is>
      </c>
      <c r="S110" s="9" t="inlineStr">
        <is>
          <t>other</t>
        </is>
      </c>
      <c r="T110" s="9" t="inlineStr">
        <is>
          <t>other</t>
        </is>
      </c>
      <c r="U110" s="59" t="inlineStr"/>
    </row>
    <row r="111">
      <c r="A111" s="9" t="n">
        <v>110</v>
      </c>
      <c r="B111" s="58" t="n">
        <v>46295</v>
      </c>
      <c r="C111" s="9" t="str">
        <f>TEXT(B111,"yyyy-mm")</f>
        <v>2026-09</v>
      </c>
      <c r="D111" s="9" t="n">
        <v>1</v>
      </c>
      <c r="E111" s="9" t="inlineStr">
        <is>
          <t>18.8.0</t>
        </is>
      </c>
      <c r="F111" s="59" t="inlineStr">
        <is>
          <t>They are faking for free pedicures</t>
        </is>
      </c>
      <c r="G111" s="59" t="inlineStr">
        <is>
          <t>I tried more then 3 time this app is faking for their free pedicure this is there strategy jisse log app download kre fake promotions are very bad fraud promotions karna band kro</t>
        </is>
      </c>
      <c r="H111" s="9" t="inlineStr">
        <is>
          <t>price_clarity</t>
        </is>
      </c>
      <c r="I111" s="9" t="inlineStr">
        <is>
          <t>offer_not_honoured</t>
        </is>
      </c>
      <c r="J111" s="9" t="inlineStr"/>
      <c r="K111" s="9" t="inlineStr">
        <is>
          <t>no</t>
        </is>
      </c>
      <c r="L111" s="9" t="inlineStr">
        <is>
          <t>no</t>
        </is>
      </c>
      <c r="M111" s="9" t="inlineStr">
        <is>
          <t>low</t>
        </is>
      </c>
      <c r="N111" s="9" t="inlineStr">
        <is>
          <t>no</t>
        </is>
      </c>
      <c r="O111" s="9" t="inlineStr">
        <is>
          <t>mani_pedi</t>
        </is>
      </c>
      <c r="P111" s="9" t="inlineStr"/>
      <c r="Q111" s="9" t="n">
        <v>0</v>
      </c>
      <c r="R111" s="59" t="inlineStr">
        <is>
          <t>I tried more then 3 time this app is faking for their free pedicure this is there strategy</t>
        </is>
      </c>
      <c r="S111" s="9" t="inlineStr">
        <is>
          <t>price_clarity</t>
        </is>
      </c>
      <c r="T111" s="9" t="inlineStr">
        <is>
          <t>price_clarity</t>
        </is>
      </c>
      <c r="U111" s="59" t="inlineStr"/>
    </row>
    <row r="112">
      <c r="A112" s="9" t="n">
        <v>111</v>
      </c>
      <c r="B112" s="58" t="n">
        <v>46294</v>
      </c>
      <c r="C112" s="9" t="str">
        <f>TEXT(B112,"yyyy-mm")</f>
        <v>2026-09</v>
      </c>
      <c r="D112" s="9" t="n">
        <v>1</v>
      </c>
      <c r="E112" s="9" t="inlineStr">
        <is>
          <t>18.8.0</t>
        </is>
      </c>
      <c r="F112" s="59" t="inlineStr">
        <is>
          <t>No more separate product</t>
        </is>
      </c>
      <c r="G112" s="59" t="inlineStr">
        <is>
          <t>Previously, there used to be separate product and separate service cost in spa, but last two months, This has stopped for the spa which I used to have, it does not have a separate option of adding or removing product cost, you have to take a complete package just like Urban Company, so what is the point of highlighting that this much is what we are charging for product, This much we are charging for service when you don’t provide the option to allow the customers to use their own product.</t>
        </is>
      </c>
      <c r="H112" s="9" t="inlineStr">
        <is>
          <t>price_clarity</t>
        </is>
      </c>
      <c r="I112" s="9" t="inlineStr">
        <is>
          <t>membership_or_package_confusion</t>
        </is>
      </c>
      <c r="J112" s="9" t="inlineStr">
        <is>
          <t>product_fit</t>
        </is>
      </c>
      <c r="K112" s="9" t="inlineStr">
        <is>
          <t>no</t>
        </is>
      </c>
      <c r="L112" s="9" t="inlineStr">
        <is>
          <t>no</t>
        </is>
      </c>
      <c r="M112" s="9" t="inlineStr">
        <is>
          <t>low</t>
        </is>
      </c>
      <c r="N112" s="9" t="inlineStr">
        <is>
          <t>no</t>
        </is>
      </c>
      <c r="O112" s="9" t="inlineStr">
        <is>
          <t>massage_spa</t>
        </is>
      </c>
      <c r="P112" s="9" t="inlineStr"/>
      <c r="Q112" s="9" t="n">
        <v>0</v>
      </c>
      <c r="R112" s="59" t="inlineStr">
        <is>
          <t>it does not have a separate option of adding or removing product cost, you have to take a complete package</t>
        </is>
      </c>
      <c r="S112" s="9" t="inlineStr">
        <is>
          <t>price_clarity</t>
        </is>
      </c>
      <c r="T112" s="9" t="inlineStr">
        <is>
          <t>price_clarity</t>
        </is>
      </c>
      <c r="U112" s="59" t="inlineStr"/>
    </row>
    <row r="113">
      <c r="A113" s="9" t="n">
        <v>112</v>
      </c>
      <c r="B113" s="58" t="n">
        <v>46294</v>
      </c>
      <c r="C113" s="9" t="str">
        <f>TEXT(B113,"yyyy-mm")</f>
        <v>2026-09</v>
      </c>
      <c r="D113" s="9" t="n">
        <v>5</v>
      </c>
      <c r="E113" s="9" t="inlineStr">
        <is>
          <t>18.8.0</t>
        </is>
      </c>
      <c r="F113" s="59" t="inlineStr">
        <is>
          <t>Deep tissue massage</t>
        </is>
      </c>
      <c r="G113" s="59" t="inlineStr">
        <is>
          <t>Professionals are very well trained. I am just loving the service.</t>
        </is>
      </c>
      <c r="H113" s="9" t="inlineStr">
        <is>
          <t>praise</t>
        </is>
      </c>
      <c r="I113" s="9" t="inlineStr">
        <is>
          <t>praise_professional</t>
        </is>
      </c>
      <c r="J113" s="9" t="inlineStr"/>
      <c r="K113" s="9" t="inlineStr">
        <is>
          <t>no</t>
        </is>
      </c>
      <c r="L113" s="9" t="inlineStr">
        <is>
          <t>no</t>
        </is>
      </c>
      <c r="M113" s="9" t="inlineStr">
        <is>
          <t>none</t>
        </is>
      </c>
      <c r="N113" s="9" t="inlineStr">
        <is>
          <t>no</t>
        </is>
      </c>
      <c r="O113" s="9" t="inlineStr">
        <is>
          <t>massage_spa</t>
        </is>
      </c>
      <c r="P113" s="9" t="inlineStr"/>
      <c r="Q113" s="9" t="n">
        <v>0</v>
      </c>
      <c r="R113" s="59" t="inlineStr">
        <is>
          <t>Professionals are very well trained. I am just loving the service.</t>
        </is>
      </c>
      <c r="S113" s="9" t="inlineStr">
        <is>
          <t>praise</t>
        </is>
      </c>
      <c r="T113" s="9" t="inlineStr">
        <is>
          <t>praise</t>
        </is>
      </c>
      <c r="U113" s="59" t="inlineStr"/>
    </row>
    <row r="114">
      <c r="A114" s="9" t="n">
        <v>113</v>
      </c>
      <c r="B114" s="58" t="n">
        <v>46294</v>
      </c>
      <c r="C114" s="9" t="str">
        <f>TEXT(B114,"yyyy-mm")</f>
        <v>2026-09</v>
      </c>
      <c r="D114" s="9" t="n">
        <v>1</v>
      </c>
      <c r="E114" s="9" t="inlineStr">
        <is>
          <t>18.8.0</t>
        </is>
      </c>
      <c r="F114" s="59" t="inlineStr">
        <is>
          <t>About wallet balance</t>
        </is>
      </c>
      <c r="G114" s="59" t="inlineStr">
        <is>
          <t>Worst experience ever about wallet balance. Can’t use it full . Accepted above booking of 1200 . After 1200 wallet balance reduction will be 50rp</t>
        </is>
      </c>
      <c r="H114" s="9" t="inlineStr">
        <is>
          <t>price_clarity</t>
        </is>
      </c>
      <c r="I114" s="9" t="inlineStr">
        <is>
          <t>offer_not_honoured</t>
        </is>
      </c>
      <c r="J114" s="9" t="inlineStr">
        <is>
          <t>payment_refund</t>
        </is>
      </c>
      <c r="K114" s="9" t="inlineStr">
        <is>
          <t>no</t>
        </is>
      </c>
      <c r="L114" s="9" t="inlineStr">
        <is>
          <t>no</t>
        </is>
      </c>
      <c r="M114" s="9" t="inlineStr">
        <is>
          <t>low</t>
        </is>
      </c>
      <c r="N114" s="9" t="inlineStr">
        <is>
          <t>no</t>
        </is>
      </c>
      <c r="O114" s="9" t="inlineStr">
        <is>
          <t>unknown</t>
        </is>
      </c>
      <c r="P114" s="9" t="inlineStr"/>
      <c r="Q114" s="9" t="n">
        <v>1200</v>
      </c>
      <c r="R114" s="59" t="inlineStr">
        <is>
          <t>Worst experience ever about wallet balance. Can’t use it full . Accepted above booking of 1200</t>
        </is>
      </c>
      <c r="S114" s="9" t="inlineStr">
        <is>
          <t>price_clarity</t>
        </is>
      </c>
      <c r="T114" s="9" t="inlineStr">
        <is>
          <t>price_clarity</t>
        </is>
      </c>
      <c r="U114" s="59" t="inlineStr"/>
    </row>
    <row r="115">
      <c r="A115" s="9" t="n">
        <v>114</v>
      </c>
      <c r="B115" s="58" t="n">
        <v>46294</v>
      </c>
      <c r="C115" s="9" t="str">
        <f>TEXT(B115,"yyyy-mm")</f>
        <v>2026-09</v>
      </c>
      <c r="D115" s="9" t="n">
        <v>5</v>
      </c>
      <c r="E115" s="9" t="inlineStr">
        <is>
          <t>18.8.0</t>
        </is>
      </c>
      <c r="F115" s="59" t="inlineStr">
        <is>
          <t>Hydra facial</t>
        </is>
      </c>
      <c r="G115" s="59" t="inlineStr">
        <is>
          <t>Have insta collagen hydra facial and [name] has given me a very good experience will definitely recommend her</t>
        </is>
      </c>
      <c r="H115" s="9" t="inlineStr">
        <is>
          <t>praise</t>
        </is>
      </c>
      <c r="I115" s="9" t="inlineStr">
        <is>
          <t>praise_professional</t>
        </is>
      </c>
      <c r="J115" s="9" t="inlineStr"/>
      <c r="K115" s="9" t="inlineStr">
        <is>
          <t>no</t>
        </is>
      </c>
      <c r="L115" s="9" t="inlineStr">
        <is>
          <t>no</t>
        </is>
      </c>
      <c r="M115" s="9" t="inlineStr">
        <is>
          <t>none</t>
        </is>
      </c>
      <c r="N115" s="9" t="inlineStr">
        <is>
          <t>no</t>
        </is>
      </c>
      <c r="O115" s="9" t="inlineStr">
        <is>
          <t>facial_cleanup</t>
        </is>
      </c>
      <c r="P115" s="9" t="inlineStr"/>
      <c r="Q115" s="9" t="n">
        <v>0</v>
      </c>
      <c r="R115" s="59" t="inlineStr">
        <is>
          <t>Have insta collagen hydra facial and [name] has given me a very good experience will definitely recommend her</t>
        </is>
      </c>
      <c r="S115" s="9" t="inlineStr">
        <is>
          <t>praise</t>
        </is>
      </c>
      <c r="T115" s="9" t="inlineStr">
        <is>
          <t>praise</t>
        </is>
      </c>
      <c r="U115" s="59" t="inlineStr"/>
    </row>
    <row r="116">
      <c r="A116" s="9" t="n">
        <v>115</v>
      </c>
      <c r="B116" s="58" t="n">
        <v>46294</v>
      </c>
      <c r="C116" s="9" t="str">
        <f>TEXT(B116,"yyyy-mm")</f>
        <v>2026-09</v>
      </c>
      <c r="D116" s="9" t="n">
        <v>1</v>
      </c>
      <c r="E116" s="9" t="inlineStr">
        <is>
          <t>18.8.0</t>
        </is>
      </c>
      <c r="F116" s="59" t="inlineStr">
        <is>
          <t>This is not good aap for who is looking for some thing only why only with big package where will go</t>
        </is>
      </c>
      <c r="G116" s="59" t="inlineStr">
        <is>
          <t>Where will go poverty people how expensive is it only with big package why I delete it now don’t
Notify me any message regarding this aap</t>
        </is>
      </c>
      <c r="H116" s="9" t="inlineStr">
        <is>
          <t>price_clarity</t>
        </is>
      </c>
      <c r="I116" s="9" t="inlineStr">
        <is>
          <t>membership_or_package_confusion</t>
        </is>
      </c>
      <c r="J116" s="9" t="inlineStr">
        <is>
          <t>app</t>
        </is>
      </c>
      <c r="K116" s="9" t="inlineStr">
        <is>
          <t>no</t>
        </is>
      </c>
      <c r="L116" s="9" t="inlineStr">
        <is>
          <t>no</t>
        </is>
      </c>
      <c r="M116" s="9" t="inlineStr">
        <is>
          <t>low</t>
        </is>
      </c>
      <c r="N116" s="9" t="inlineStr">
        <is>
          <t>yes</t>
        </is>
      </c>
      <c r="O116" s="9" t="inlineStr">
        <is>
          <t>unknown</t>
        </is>
      </c>
      <c r="P116" s="9" t="inlineStr"/>
      <c r="Q116" s="9" t="n">
        <v>0</v>
      </c>
      <c r="R116" s="59" t="inlineStr">
        <is>
          <t>Where will go poverty people how expensive is it only with big package why I delete it now</t>
        </is>
      </c>
      <c r="S116" s="9" t="inlineStr">
        <is>
          <t>price_clarity</t>
        </is>
      </c>
      <c r="T116" s="9" t="inlineStr">
        <is>
          <t>price_clarity</t>
        </is>
      </c>
      <c r="U116" s="59" t="inlineStr"/>
    </row>
    <row r="117">
      <c r="A117" s="9" t="n">
        <v>116</v>
      </c>
      <c r="B117" s="58" t="n">
        <v>46293</v>
      </c>
      <c r="C117" s="9" t="str">
        <f>TEXT(B117,"yyyy-mm")</f>
        <v>2026-09</v>
      </c>
      <c r="D117" s="9" t="n">
        <v>1</v>
      </c>
      <c r="E117" s="9" t="inlineStr">
        <is>
          <t>18.8.0</t>
        </is>
      </c>
      <c r="F117" s="59" t="inlineStr">
        <is>
          <t>App glitches are unbearable</t>
        </is>
      </c>
      <c r="G117" s="59" t="inlineStr">
        <is>
          <t>This app has so many issues: Referral coins not updated, coupons not reflecting, error.in service booking. Dont know who made it.</t>
        </is>
      </c>
      <c r="H117" s="9" t="inlineStr">
        <is>
          <t>app</t>
        </is>
      </c>
      <c r="I117" s="9" t="inlineStr">
        <is>
          <t>booking_or_checkout_bug</t>
        </is>
      </c>
      <c r="J117" s="9" t="inlineStr">
        <is>
          <t>price_clarity</t>
        </is>
      </c>
      <c r="K117" s="9" t="inlineStr">
        <is>
          <t>no</t>
        </is>
      </c>
      <c r="L117" s="9" t="inlineStr">
        <is>
          <t>no</t>
        </is>
      </c>
      <c r="M117" s="9" t="inlineStr">
        <is>
          <t>low</t>
        </is>
      </c>
      <c r="N117" s="9" t="inlineStr">
        <is>
          <t>no</t>
        </is>
      </c>
      <c r="O117" s="9" t="inlineStr">
        <is>
          <t>unknown</t>
        </is>
      </c>
      <c r="P117" s="9" t="inlineStr"/>
      <c r="Q117" s="9" t="n">
        <v>0</v>
      </c>
      <c r="R117" s="59" t="inlineStr">
        <is>
          <t>This app has so many issues: Referral coins not updated, coupons not reflecting, error.in service booking.</t>
        </is>
      </c>
      <c r="S117" s="9" t="inlineStr">
        <is>
          <t>app</t>
        </is>
      </c>
      <c r="T117" s="9" t="inlineStr">
        <is>
          <t>app</t>
        </is>
      </c>
      <c r="U117" s="59" t="inlineStr"/>
    </row>
    <row r="118">
      <c r="A118" s="9" t="n">
        <v>117</v>
      </c>
      <c r="B118" s="58" t="n">
        <v>46293</v>
      </c>
      <c r="C118" s="9" t="str">
        <f>TEXT(B118,"yyyy-mm")</f>
        <v>2026-09</v>
      </c>
      <c r="D118" s="9" t="n">
        <v>1</v>
      </c>
      <c r="E118" s="9" t="inlineStr">
        <is>
          <t>18.8.0</t>
        </is>
      </c>
      <c r="F118" s="59" t="inlineStr">
        <is>
          <t>Worst service I ever received</t>
        </is>
      </c>
      <c r="G118" s="59" t="inlineStr">
        <is>
          <t>I booked for a facial and it was my worst experience. The lady removed black heads from my face so painfully that I can’t even bear. And still paining even after three days passed. She punched my complete nose area, even when I regularly do facial and have no black heads. Being an introvert I couldn’t said this on her face. But I will not take the service from this app again</t>
        </is>
      </c>
      <c r="H118" s="9" t="inlineStr">
        <is>
          <t>service_quality</t>
        </is>
      </c>
      <c r="I118" s="9" t="inlineStr">
        <is>
          <t>skin_injury_or_reaction</t>
        </is>
      </c>
      <c r="J118" s="9" t="inlineStr"/>
      <c r="K118" s="9" t="inlineStr">
        <is>
          <t>no</t>
        </is>
      </c>
      <c r="L118" s="9" t="inlineStr">
        <is>
          <t>no</t>
        </is>
      </c>
      <c r="M118" s="9" t="inlineStr">
        <is>
          <t>high</t>
        </is>
      </c>
      <c r="N118" s="9" t="inlineStr">
        <is>
          <t>yes</t>
        </is>
      </c>
      <c r="O118" s="9" t="inlineStr">
        <is>
          <t>facial_cleanup</t>
        </is>
      </c>
      <c r="P118" s="9" t="inlineStr"/>
      <c r="Q118" s="9" t="n">
        <v>0</v>
      </c>
      <c r="R118" s="59" t="inlineStr">
        <is>
          <t>The lady removed black heads from my face so painfully that I can’t even bear. And still paining even after three days passed.</t>
        </is>
      </c>
      <c r="S118" s="9" t="inlineStr">
        <is>
          <t>service_quality</t>
        </is>
      </c>
      <c r="T118" s="9" t="inlineStr">
        <is>
          <t>service_quality</t>
        </is>
      </c>
      <c r="U118" s="59" t="inlineStr"/>
    </row>
    <row r="119">
      <c r="A119" s="9" t="n">
        <v>118</v>
      </c>
      <c r="B119" s="58" t="n">
        <v>46293</v>
      </c>
      <c r="C119" s="9" t="str">
        <f>TEXT(B119,"yyyy-mm")</f>
        <v>2026-09</v>
      </c>
      <c r="D119" s="9" t="n">
        <v>5</v>
      </c>
      <c r="E119" s="9" t="inlineStr">
        <is>
          <t>18.8.0</t>
        </is>
      </c>
      <c r="F119" s="59" t="inlineStr">
        <is>
          <t>Meni pedi service</t>
        </is>
      </c>
      <c r="G119" s="59" t="inlineStr">
        <is>
          <t>Service was good. She was polite and did her job well</t>
        </is>
      </c>
      <c r="H119" s="9" t="inlineStr">
        <is>
          <t>praise</t>
        </is>
      </c>
      <c r="I119" s="9" t="inlineStr">
        <is>
          <t>praise_professional</t>
        </is>
      </c>
      <c r="J119" s="9" t="inlineStr"/>
      <c r="K119" s="9" t="inlineStr">
        <is>
          <t>no</t>
        </is>
      </c>
      <c r="L119" s="9" t="inlineStr">
        <is>
          <t>no</t>
        </is>
      </c>
      <c r="M119" s="9" t="inlineStr">
        <is>
          <t>none</t>
        </is>
      </c>
      <c r="N119" s="9" t="inlineStr">
        <is>
          <t>no</t>
        </is>
      </c>
      <c r="O119" s="9" t="inlineStr">
        <is>
          <t>mani_pedi</t>
        </is>
      </c>
      <c r="P119" s="9" t="inlineStr"/>
      <c r="Q119" s="9" t="n">
        <v>0</v>
      </c>
      <c r="R119" s="59" t="inlineStr">
        <is>
          <t>Service was good. She was polite and did her job well</t>
        </is>
      </c>
      <c r="S119" s="9" t="inlineStr">
        <is>
          <t>praise</t>
        </is>
      </c>
      <c r="T119" s="9" t="inlineStr">
        <is>
          <t>praise</t>
        </is>
      </c>
      <c r="U119" s="59" t="inlineStr"/>
    </row>
    <row r="120">
      <c r="A120" s="9" t="n">
        <v>119</v>
      </c>
      <c r="B120" s="58" t="n">
        <v>46293</v>
      </c>
      <c r="C120" s="9" t="str">
        <f>TEXT(B120,"yyyy-mm")</f>
        <v>2026-09</v>
      </c>
      <c r="D120" s="9" t="n">
        <v>5</v>
      </c>
      <c r="E120" s="9" t="inlineStr">
        <is>
          <t>18.8.0</t>
        </is>
      </c>
      <c r="F120" s="59" t="inlineStr">
        <is>
          <t>Parlour Services</t>
        </is>
      </c>
      <c r="G120" s="59" t="inlineStr">
        <is>
          <t>Excellent service</t>
        </is>
      </c>
      <c r="H120" s="9" t="inlineStr">
        <is>
          <t>praise</t>
        </is>
      </c>
      <c r="I120" s="9" t="inlineStr">
        <is>
          <t>praise_service</t>
        </is>
      </c>
      <c r="J120" s="9" t="inlineStr"/>
      <c r="K120" s="9" t="inlineStr">
        <is>
          <t>no</t>
        </is>
      </c>
      <c r="L120" s="9" t="inlineStr">
        <is>
          <t>no</t>
        </is>
      </c>
      <c r="M120" s="9" t="inlineStr">
        <is>
          <t>none</t>
        </is>
      </c>
      <c r="N120" s="9" t="inlineStr">
        <is>
          <t>no</t>
        </is>
      </c>
      <c r="O120" s="9" t="inlineStr">
        <is>
          <t>unknown</t>
        </is>
      </c>
      <c r="P120" s="9" t="inlineStr"/>
      <c r="Q120" s="9" t="n">
        <v>0</v>
      </c>
      <c r="R120" s="59" t="inlineStr">
        <is>
          <t>Excellent service</t>
        </is>
      </c>
      <c r="S120" s="9" t="inlineStr">
        <is>
          <t>praise</t>
        </is>
      </c>
      <c r="T120" s="9" t="inlineStr">
        <is>
          <t>praise</t>
        </is>
      </c>
      <c r="U120" s="59" t="inlineStr"/>
    </row>
    <row r="121">
      <c r="A121" s="9" t="n">
        <v>120</v>
      </c>
      <c r="B121" s="58" t="n">
        <v>46293</v>
      </c>
      <c r="C121" s="9" t="str">
        <f>TEXT(B121,"yyyy-mm")</f>
        <v>2026-09</v>
      </c>
      <c r="D121" s="9" t="n">
        <v>1</v>
      </c>
      <c r="E121" s="9" t="inlineStr">
        <is>
          <t>18.8.0</t>
        </is>
      </c>
      <c r="F121" s="59" t="inlineStr">
        <is>
          <t>Fake offer for attractions</t>
        </is>
      </c>
      <c r="G121" s="59" t="inlineStr">
        <is>
          <t>They don’t give any free pedicure service offer I’ve tried it</t>
        </is>
      </c>
      <c r="H121" s="9" t="inlineStr">
        <is>
          <t>price_clarity</t>
        </is>
      </c>
      <c r="I121" s="9" t="inlineStr">
        <is>
          <t>offer_not_honoured</t>
        </is>
      </c>
      <c r="J121" s="9" t="inlineStr"/>
      <c r="K121" s="9" t="inlineStr">
        <is>
          <t>no</t>
        </is>
      </c>
      <c r="L121" s="9" t="inlineStr">
        <is>
          <t>no</t>
        </is>
      </c>
      <c r="M121" s="9" t="inlineStr">
        <is>
          <t>low</t>
        </is>
      </c>
      <c r="N121" s="9" t="inlineStr">
        <is>
          <t>no</t>
        </is>
      </c>
      <c r="O121" s="9" t="inlineStr">
        <is>
          <t>mani_pedi</t>
        </is>
      </c>
      <c r="P121" s="9" t="inlineStr"/>
      <c r="Q121" s="9" t="n">
        <v>0</v>
      </c>
      <c r="R121" s="59" t="inlineStr">
        <is>
          <t>They don’t give any free pedicure service offer I’ve tried it</t>
        </is>
      </c>
      <c r="S121" s="9" t="inlineStr">
        <is>
          <t>price_clarity</t>
        </is>
      </c>
      <c r="T121" s="9" t="inlineStr">
        <is>
          <t>price_clarity</t>
        </is>
      </c>
      <c r="U121" s="59" t="inlineStr"/>
    </row>
    <row r="122">
      <c r="A122" s="9" t="n">
        <v>121</v>
      </c>
      <c r="B122" s="58" t="n">
        <v>46293</v>
      </c>
      <c r="C122" s="9" t="str">
        <f>TEXT(B122,"yyyy-mm")</f>
        <v>2026-09</v>
      </c>
      <c r="D122" s="9" t="n">
        <v>1</v>
      </c>
      <c r="E122" s="9" t="inlineStr">
        <is>
          <t>18.8.0</t>
        </is>
      </c>
      <c r="F122" s="59" t="inlineStr">
        <is>
          <t>Fake advertisements to attract customers</t>
        </is>
      </c>
      <c r="G122" s="59" t="inlineStr">
        <is>
          <t>This is one of the most frustrating promotional offers I’ve come across. I checked for the FREE pedicure offer for TWO DAYS continuously and waited until exactly 1 PM as instructed. Both days, the moment I checked, there were NO SLOTS AVAILABLE.
Then what exactly is the point of advertising a “FREE” service and asking customers to wait until 1 PM if there are apparently no slots available?
This genuinely feels like a marketing tactic to attract people, make them download the app, and create excitement around an offer that customers are unable to actually redeem. I wasted my time for two consecutive days following the instructions exactly as given.
If there are only a handful of slots, clearly state the number of slots and eligibility instead of making it look like a genuine free service available to customers.
Very misleading and extremely disappointing. Please don’t advertise offers in a way that makes customers repeatedly waste their time trying to claim something that is practically unavailable.</t>
        </is>
      </c>
      <c r="H122" s="9" t="inlineStr">
        <is>
          <t>price_clarity</t>
        </is>
      </c>
      <c r="I122" s="9" t="inlineStr">
        <is>
          <t>offer_not_honoured</t>
        </is>
      </c>
      <c r="J122" s="9" t="inlineStr">
        <is>
          <t>app</t>
        </is>
      </c>
      <c r="K122" s="9" t="inlineStr">
        <is>
          <t>no</t>
        </is>
      </c>
      <c r="L122" s="9" t="inlineStr">
        <is>
          <t>no</t>
        </is>
      </c>
      <c r="M122" s="9" t="inlineStr">
        <is>
          <t>low</t>
        </is>
      </c>
      <c r="N122" s="9" t="inlineStr">
        <is>
          <t>no</t>
        </is>
      </c>
      <c r="O122" s="9" t="inlineStr">
        <is>
          <t>mani_pedi</t>
        </is>
      </c>
      <c r="P122" s="9" t="inlineStr"/>
      <c r="Q122" s="9" t="n">
        <v>0</v>
      </c>
      <c r="R122" s="59" t="inlineStr">
        <is>
          <t>I checked for the FREE pedicure offer for TWO DAYS continuously and waited until exactly 1 PM as instructed.</t>
        </is>
      </c>
      <c r="S122" s="9" t="inlineStr">
        <is>
          <t>price_clarity</t>
        </is>
      </c>
      <c r="T122" s="9" t="inlineStr">
        <is>
          <t>price_clarity</t>
        </is>
      </c>
      <c r="U122" s="59" t="inlineStr"/>
    </row>
    <row r="123">
      <c r="A123" s="9" t="n">
        <v>122</v>
      </c>
      <c r="B123" s="58" t="n">
        <v>46293</v>
      </c>
      <c r="C123" s="9" t="str">
        <f>TEXT(B123,"yyyy-mm")</f>
        <v>2026-09</v>
      </c>
      <c r="D123" s="9" t="n">
        <v>3</v>
      </c>
      <c r="E123" s="9" t="inlineStr">
        <is>
          <t>18.8.0</t>
        </is>
      </c>
      <c r="F123" s="59" t="inlineStr">
        <is>
          <t>Irritating False notifications</t>
        </is>
      </c>
      <c r="G123" s="59" t="inlineStr">
        <is>
          <t>Good app and service. But it keeps sending false notifications to trigger fomo, where they mention that 400/- is credited to your account, avail within 2 days. I checked on this since last 3 months, they continue doing this which is irritating.</t>
        </is>
      </c>
      <c r="H123" s="9" t="inlineStr">
        <is>
          <t>price_clarity</t>
        </is>
      </c>
      <c r="I123" s="9" t="inlineStr">
        <is>
          <t>offer_not_honoured</t>
        </is>
      </c>
      <c r="J123" s="9" t="inlineStr">
        <is>
          <t>app</t>
        </is>
      </c>
      <c r="K123" s="9" t="inlineStr">
        <is>
          <t>no</t>
        </is>
      </c>
      <c r="L123" s="9" t="inlineStr">
        <is>
          <t>no</t>
        </is>
      </c>
      <c r="M123" s="9" t="inlineStr">
        <is>
          <t>low</t>
        </is>
      </c>
      <c r="N123" s="9" t="inlineStr">
        <is>
          <t>no</t>
        </is>
      </c>
      <c r="O123" s="9" t="inlineStr">
        <is>
          <t>unknown</t>
        </is>
      </c>
      <c r="P123" s="9" t="inlineStr"/>
      <c r="Q123" s="9" t="n">
        <v>400</v>
      </c>
      <c r="R123" s="59" t="inlineStr">
        <is>
          <t>it keeps sending false notifications to trigger fomo, where they mention that 400/- is credited to your account</t>
        </is>
      </c>
      <c r="S123" s="9" t="inlineStr">
        <is>
          <t>price_clarity</t>
        </is>
      </c>
      <c r="T123" s="9" t="inlineStr">
        <is>
          <t>price_clarity</t>
        </is>
      </c>
      <c r="U123" s="59" t="inlineStr"/>
    </row>
    <row r="124">
      <c r="A124" s="9" t="n">
        <v>123</v>
      </c>
      <c r="B124" s="58" t="n">
        <v>46293</v>
      </c>
      <c r="C124" s="9" t="str">
        <f>TEXT(B124,"yyyy-mm")</f>
        <v>2026-09</v>
      </c>
      <c r="D124" s="9" t="n">
        <v>5</v>
      </c>
      <c r="E124" s="9" t="inlineStr">
        <is>
          <t>18.8.0</t>
        </is>
      </c>
      <c r="F124" s="59" t="inlineStr">
        <is>
          <t>Wonderful Service by [name]</t>
        </is>
      </c>
      <c r="G124" s="59" t="inlineStr">
        <is>
          <t>I always have a wonderful experience with Yes Madam, and I would especially like to appreciate [name] for her exceptional service. She is incredibly hardworking, professional, polite, kind, and respectful. From the moment she arrived, she made me feel completely comfortable and cared for.
[name] is truly passionate about her work, and it reflects in the way she provides her service. Her hands genuinely have magic! The entire experience was so relaxing and comfortable that I felt completely at ease. She is patient, attentive, and makes sure that everything is done with great care and perfection.
People like [name] are a real asset to Yes Madam. It is wonderful to see such dedicated and talented professionals providing services with such warmth and sincerity.
A big thank you to Yes Madam for having someone as wonderful as [name] on your team. I truly appreciate her hard work and dedication and would definitely love to have her service again. Highly recommended! ❤️</t>
        </is>
      </c>
      <c r="H124" s="9" t="inlineStr">
        <is>
          <t>praise</t>
        </is>
      </c>
      <c r="I124" s="9" t="inlineStr">
        <is>
          <t>praise_professional</t>
        </is>
      </c>
      <c r="J124" s="9" t="inlineStr"/>
      <c r="K124" s="9" t="inlineStr">
        <is>
          <t>no</t>
        </is>
      </c>
      <c r="L124" s="9" t="inlineStr">
        <is>
          <t>no</t>
        </is>
      </c>
      <c r="M124" s="9" t="inlineStr">
        <is>
          <t>none</t>
        </is>
      </c>
      <c r="N124" s="9" t="inlineStr">
        <is>
          <t>no</t>
        </is>
      </c>
      <c r="O124" s="9" t="inlineStr">
        <is>
          <t>unknown</t>
        </is>
      </c>
      <c r="P124" s="9" t="inlineStr"/>
      <c r="Q124" s="9" t="n">
        <v>0</v>
      </c>
      <c r="R124" s="59" t="inlineStr">
        <is>
          <t>I would especially like to appreciate [name] for her exceptional service. She is incredibly hardworking, professional, polite, kind, and respectful.</t>
        </is>
      </c>
      <c r="S124" s="9" t="inlineStr">
        <is>
          <t>praise</t>
        </is>
      </c>
      <c r="T124" s="9" t="inlineStr">
        <is>
          <t>praise</t>
        </is>
      </c>
      <c r="U124" s="59" t="inlineStr"/>
    </row>
    <row r="125">
      <c r="A125" s="9" t="n">
        <v>124</v>
      </c>
      <c r="B125" s="58" t="n">
        <v>46292</v>
      </c>
      <c r="C125" s="9" t="str">
        <f>TEXT(B125,"yyyy-mm")</f>
        <v>2026-09</v>
      </c>
      <c r="D125" s="9" t="n">
        <v>1</v>
      </c>
      <c r="E125" s="9" t="inlineStr">
        <is>
          <t>18.8.0</t>
        </is>
      </c>
      <c r="F125" s="59" t="inlineStr">
        <is>
          <t>On occasion they cancel</t>
        </is>
      </c>
      <c r="G125" s="59" t="inlineStr">
        <is>
          <t>Not good if even you book in advance</t>
        </is>
      </c>
      <c r="H125" s="9" t="inlineStr">
        <is>
          <t>partner_cancellation</t>
        </is>
      </c>
      <c r="I125" s="9" t="inlineStr">
        <is>
          <t>last_minute_cancel</t>
        </is>
      </c>
      <c r="J125" s="9" t="inlineStr"/>
      <c r="K125" s="9" t="inlineStr">
        <is>
          <t>no</t>
        </is>
      </c>
      <c r="L125" s="9" t="inlineStr">
        <is>
          <t>no</t>
        </is>
      </c>
      <c r="M125" s="9" t="inlineStr">
        <is>
          <t>medium</t>
        </is>
      </c>
      <c r="N125" s="9" t="inlineStr">
        <is>
          <t>no</t>
        </is>
      </c>
      <c r="O125" s="9" t="inlineStr">
        <is>
          <t>unknown</t>
        </is>
      </c>
      <c r="P125" s="9" t="inlineStr"/>
      <c r="Q125" s="9" t="n">
        <v>0</v>
      </c>
      <c r="R125" s="59" t="inlineStr">
        <is>
          <t>On occasion they cancel. Not good if even you book in advance</t>
        </is>
      </c>
      <c r="S125" s="9" t="inlineStr">
        <is>
          <t>partner_cancellation</t>
        </is>
      </c>
      <c r="T125" s="9" t="inlineStr">
        <is>
          <t>partner_cancellation</t>
        </is>
      </c>
      <c r="U125" s="59" t="inlineStr"/>
    </row>
    <row r="126">
      <c r="A126" s="9" t="n">
        <v>125</v>
      </c>
      <c r="B126" s="58" t="n">
        <v>46292</v>
      </c>
      <c r="C126" s="9" t="str">
        <f>TEXT(B126,"yyyy-mm")</f>
        <v>2026-09</v>
      </c>
      <c r="D126" s="9" t="n">
        <v>2</v>
      </c>
      <c r="E126" s="9" t="inlineStr">
        <is>
          <t>18.8.0</t>
        </is>
      </c>
      <c r="F126" s="59" t="inlineStr">
        <is>
          <t>Service is good</t>
        </is>
      </c>
      <c r="G126" s="59" t="inlineStr">
        <is>
          <t>You give very good service and availability bur you dont give good offer.</t>
        </is>
      </c>
      <c r="H126" s="9" t="inlineStr">
        <is>
          <t>other</t>
        </is>
      </c>
      <c r="I126" s="9" t="inlineStr">
        <is>
          <t>other_issue</t>
        </is>
      </c>
      <c r="J126" s="9" t="inlineStr"/>
      <c r="K126" s="9" t="inlineStr">
        <is>
          <t>no</t>
        </is>
      </c>
      <c r="L126" s="9" t="inlineStr">
        <is>
          <t>no</t>
        </is>
      </c>
      <c r="M126" s="9" t="inlineStr">
        <is>
          <t>low</t>
        </is>
      </c>
      <c r="N126" s="9" t="inlineStr">
        <is>
          <t>no</t>
        </is>
      </c>
      <c r="O126" s="9" t="inlineStr">
        <is>
          <t>unknown</t>
        </is>
      </c>
      <c r="P126" s="9" t="inlineStr"/>
      <c r="Q126" s="9" t="n">
        <v>0</v>
      </c>
      <c r="R126" s="59" t="inlineStr">
        <is>
          <t>You give very good service and availability bur you dont give good offer.</t>
        </is>
      </c>
      <c r="S126" s="9" t="inlineStr">
        <is>
          <t>other</t>
        </is>
      </c>
      <c r="T126" s="9" t="inlineStr">
        <is>
          <t>other</t>
        </is>
      </c>
      <c r="U126" s="59" t="inlineStr"/>
    </row>
    <row r="127">
      <c r="A127" s="9" t="n">
        <v>126</v>
      </c>
      <c r="B127" s="58" t="n">
        <v>46292</v>
      </c>
      <c r="C127" s="9" t="str">
        <f>TEXT(B127,"yyyy-mm")</f>
        <v>2026-09</v>
      </c>
      <c r="D127" s="9" t="n">
        <v>1</v>
      </c>
      <c r="E127" s="9" t="inlineStr">
        <is>
          <t>18.8.0</t>
        </is>
      </c>
      <c r="F127" s="59" t="inlineStr">
        <is>
          <t>From bad to worse</t>
        </is>
      </c>
      <c r="G127" s="59" t="inlineStr">
        <is>
          <t>Used Yes Madam for a while — initially the service was genuinely good. But like most apps, quality dropped over time and now it's just disappointing.
Every booking includes a ₹300 charge labeled as tax, but it's actually for "professional training." Since when do customers pay to train a company's own staff? We paid it without question, trusting we'd get quality service in return. We didn't.
Despite this charge, the professionals sent are unprofessional and unpunctual. A uniform doesn't equal training — basic etiquette and timeliness are missing. Staff rarely arrive on time.
Customer support is no help either — just a generic "sorry, nothing we can do." No real resolution, ever.
If you're charging extra for training, actually train your staff. Right now it feels like we're paying more for less.
10th time in a row I had to cancel my booking because rescheduling doesn’t work they can’t even provide the products 
Not recommending this anymore.</t>
        </is>
      </c>
      <c r="H127" s="9" t="inlineStr">
        <is>
          <t>price_clarity</t>
        </is>
      </c>
      <c r="I127" s="9" t="inlineStr">
        <is>
          <t>hidden_charges</t>
        </is>
      </c>
      <c r="J127" s="9" t="inlineStr">
        <is>
          <t>service_quality, delay, support, partner_cancellation, product_fit</t>
        </is>
      </c>
      <c r="K127" s="9" t="inlineStr">
        <is>
          <t>yes</t>
        </is>
      </c>
      <c r="L127" s="9" t="inlineStr">
        <is>
          <t>yes</t>
        </is>
      </c>
      <c r="M127" s="9" t="inlineStr">
        <is>
          <t>medium</t>
        </is>
      </c>
      <c r="N127" s="9" t="inlineStr">
        <is>
          <t>no</t>
        </is>
      </c>
      <c r="O127" s="9" t="inlineStr">
        <is>
          <t>unknown</t>
        </is>
      </c>
      <c r="P127" s="9" t="inlineStr"/>
      <c r="Q127" s="9" t="n">
        <v>300</v>
      </c>
      <c r="R127" s="59" t="inlineStr">
        <is>
          <t>Every booking includes a ₹300 charge labeled as tax, but it's actually for "professional training."</t>
        </is>
      </c>
      <c r="S127" s="9" t="inlineStr">
        <is>
          <t>price_clarity</t>
        </is>
      </c>
      <c r="T127" s="9" t="inlineStr">
        <is>
          <t>price_clarity</t>
        </is>
      </c>
      <c r="U127" s="59" t="inlineStr"/>
    </row>
    <row r="128">
      <c r="A128" s="9" t="n">
        <v>127</v>
      </c>
      <c r="B128" s="58" t="n">
        <v>46291</v>
      </c>
      <c r="C128" s="9" t="str">
        <f>TEXT(B128,"yyyy-mm")</f>
        <v>2026-09</v>
      </c>
      <c r="D128" s="9" t="n">
        <v>1</v>
      </c>
      <c r="E128" s="9" t="inlineStr">
        <is>
          <t>18.8.0</t>
        </is>
      </c>
      <c r="F128" s="59" t="inlineStr">
        <is>
          <t>No guarantee for service</t>
        </is>
      </c>
      <c r="G128" s="59" t="inlineStr">
        <is>
          <t>Yes, Madam has an unorganised system. They simply provide slots but always ask you to reschedule, or their service providers call and say that they don't have the products and ask you to cancel the booking. We tried to book 6 times and it was cancelled 5 times at the last minute. There is 90% no guarantee and no punctuality. Not recommended for busy people</t>
        </is>
      </c>
      <c r="H128" s="9" t="inlineStr">
        <is>
          <t>partner_cancellation</t>
        </is>
      </c>
      <c r="I128" s="9" t="inlineStr">
        <is>
          <t>last_minute_cancel</t>
        </is>
      </c>
      <c r="J128" s="9" t="inlineStr">
        <is>
          <t>product_fit, delay</t>
        </is>
      </c>
      <c r="K128" s="9" t="inlineStr">
        <is>
          <t>no</t>
        </is>
      </c>
      <c r="L128" s="9" t="inlineStr">
        <is>
          <t>no</t>
        </is>
      </c>
      <c r="M128" s="9" t="inlineStr">
        <is>
          <t>medium</t>
        </is>
      </c>
      <c r="N128" s="9" t="inlineStr">
        <is>
          <t>no</t>
        </is>
      </c>
      <c r="O128" s="9" t="inlineStr">
        <is>
          <t>unknown</t>
        </is>
      </c>
      <c r="P128" s="9" t="inlineStr"/>
      <c r="Q128" s="9" t="n">
        <v>0</v>
      </c>
      <c r="R128" s="59" t="inlineStr">
        <is>
          <t>We tried to book 6 times and it was cancelled 5 times at the last minute.</t>
        </is>
      </c>
      <c r="S128" s="9" t="inlineStr">
        <is>
          <t>partner_cancellation</t>
        </is>
      </c>
      <c r="T128" s="9" t="inlineStr">
        <is>
          <t>partner_cancellation</t>
        </is>
      </c>
      <c r="U128" s="59" t="inlineStr"/>
    </row>
    <row r="129">
      <c r="A129" s="9" t="n">
        <v>128</v>
      </c>
      <c r="B129" s="58" t="n">
        <v>46291</v>
      </c>
      <c r="C129" s="9" t="str">
        <f>TEXT(B129,"yyyy-mm")</f>
        <v>2026-09</v>
      </c>
      <c r="D129" s="9" t="n">
        <v>5</v>
      </c>
      <c r="E129" s="9" t="inlineStr">
        <is>
          <t>18.8.0</t>
        </is>
      </c>
      <c r="F129" s="59" t="inlineStr">
        <is>
          <t>Service review</t>
        </is>
      </c>
      <c r="G129" s="59" t="inlineStr">
        <is>
          <t>[name] ma’am did a great job.
She is very professional and experienced, she gave a proper time for the service.
Overall good experience with her.</t>
        </is>
      </c>
      <c r="H129" s="9" t="inlineStr">
        <is>
          <t>praise</t>
        </is>
      </c>
      <c r="I129" s="9" t="inlineStr">
        <is>
          <t>praise_professional</t>
        </is>
      </c>
      <c r="J129" s="9" t="inlineStr"/>
      <c r="K129" s="9" t="inlineStr">
        <is>
          <t>no</t>
        </is>
      </c>
      <c r="L129" s="9" t="inlineStr">
        <is>
          <t>no</t>
        </is>
      </c>
      <c r="M129" s="9" t="inlineStr">
        <is>
          <t>none</t>
        </is>
      </c>
      <c r="N129" s="9" t="inlineStr">
        <is>
          <t>no</t>
        </is>
      </c>
      <c r="O129" s="9" t="inlineStr">
        <is>
          <t>unknown</t>
        </is>
      </c>
      <c r="P129" s="9" t="inlineStr"/>
      <c r="Q129" s="9" t="n">
        <v>0</v>
      </c>
      <c r="R129" s="59" t="inlineStr">
        <is>
          <t>[name] ma’am did a great job. She is very professional and experienced, she gave a proper time for the service.</t>
        </is>
      </c>
      <c r="S129" s="9" t="inlineStr">
        <is>
          <t>praise</t>
        </is>
      </c>
      <c r="T129" s="9" t="inlineStr">
        <is>
          <t>praise</t>
        </is>
      </c>
      <c r="U129" s="59" t="inlineStr"/>
    </row>
    <row r="130">
      <c r="A130" s="9" t="n">
        <v>129</v>
      </c>
      <c r="B130" s="58" t="n">
        <v>46291</v>
      </c>
      <c r="C130" s="9" t="str">
        <f>TEXT(B130,"yyyy-mm")</f>
        <v>2026-09</v>
      </c>
      <c r="D130" s="9" t="n">
        <v>3</v>
      </c>
      <c r="E130" s="9" t="inlineStr">
        <is>
          <t>18.8.0</t>
        </is>
      </c>
      <c r="F130" s="59" t="inlineStr">
        <is>
          <t>Issue</t>
        </is>
      </c>
      <c r="G130" s="59" t="inlineStr">
        <is>
          <t>Need to work on customer support</t>
        </is>
      </c>
      <c r="H130" s="9" t="inlineStr">
        <is>
          <t>support</t>
        </is>
      </c>
      <c r="I130" s="9" t="inlineStr">
        <is>
          <t>unhelpful_or_scripted</t>
        </is>
      </c>
      <c r="J130" s="9" t="inlineStr"/>
      <c r="K130" s="9" t="inlineStr">
        <is>
          <t>no</t>
        </is>
      </c>
      <c r="L130" s="9" t="inlineStr">
        <is>
          <t>no</t>
        </is>
      </c>
      <c r="M130" s="9" t="inlineStr">
        <is>
          <t>low</t>
        </is>
      </c>
      <c r="N130" s="9" t="inlineStr">
        <is>
          <t>no</t>
        </is>
      </c>
      <c r="O130" s="9" t="inlineStr">
        <is>
          <t>unknown</t>
        </is>
      </c>
      <c r="P130" s="9" t="inlineStr"/>
      <c r="Q130" s="9" t="n">
        <v>0</v>
      </c>
      <c r="R130" s="59" t="inlineStr">
        <is>
          <t>Need to work on customer support</t>
        </is>
      </c>
      <c r="S130" s="9" t="inlineStr">
        <is>
          <t>support</t>
        </is>
      </c>
      <c r="T130" s="9" t="inlineStr">
        <is>
          <t>support</t>
        </is>
      </c>
      <c r="U130" s="59" t="inlineStr"/>
    </row>
    <row r="131">
      <c r="A131" s="9" t="n">
        <v>130</v>
      </c>
      <c r="B131" s="58" t="n">
        <v>46291</v>
      </c>
      <c r="C131" s="9" t="str">
        <f>TEXT(B131,"yyyy-mm")</f>
        <v>2026-09</v>
      </c>
      <c r="D131" s="9" t="n">
        <v>5</v>
      </c>
      <c r="E131" s="9" t="inlineStr">
        <is>
          <t>18.8.0</t>
        </is>
      </c>
      <c r="F131" s="59" t="inlineStr">
        <is>
          <t>Very good service</t>
        </is>
      </c>
      <c r="G131" s="59" t="inlineStr">
        <is>
          <t>I really like the service done by [name]. She did her job very professionally while maintaining hygiene and loved her behaviour. I also like the products from yes madam they ate very good.</t>
        </is>
      </c>
      <c r="H131" s="9" t="inlineStr">
        <is>
          <t>praise</t>
        </is>
      </c>
      <c r="I131" s="9" t="inlineStr">
        <is>
          <t>praise_professional</t>
        </is>
      </c>
      <c r="J131" s="9" t="inlineStr"/>
      <c r="K131" s="9" t="inlineStr">
        <is>
          <t>no</t>
        </is>
      </c>
      <c r="L131" s="9" t="inlineStr">
        <is>
          <t>no</t>
        </is>
      </c>
      <c r="M131" s="9" t="inlineStr">
        <is>
          <t>none</t>
        </is>
      </c>
      <c r="N131" s="9" t="inlineStr">
        <is>
          <t>no</t>
        </is>
      </c>
      <c r="O131" s="9" t="inlineStr">
        <is>
          <t>unknown</t>
        </is>
      </c>
      <c r="P131" s="9" t="inlineStr"/>
      <c r="Q131" s="9" t="n">
        <v>0</v>
      </c>
      <c r="R131" s="59" t="inlineStr">
        <is>
          <t>I really like the service done by [name]. She did her job very professionally while maintaining hygiene</t>
        </is>
      </c>
      <c r="S131" s="9" t="inlineStr">
        <is>
          <t>praise</t>
        </is>
      </c>
      <c r="T131" s="9" t="inlineStr">
        <is>
          <t>praise</t>
        </is>
      </c>
      <c r="U131" s="59" t="inlineStr"/>
    </row>
    <row r="132">
      <c r="A132" s="9" t="n">
        <v>131</v>
      </c>
      <c r="B132" s="58" t="n">
        <v>46291</v>
      </c>
      <c r="C132" s="9" t="str">
        <f>TEXT(B132,"yyyy-mm")</f>
        <v>2026-09</v>
      </c>
      <c r="D132" s="9" t="n">
        <v>1</v>
      </c>
      <c r="E132" s="9" t="inlineStr">
        <is>
          <t>18.8.0</t>
        </is>
      </c>
      <c r="F132" s="59" t="inlineStr">
        <is>
          <t>Pathetic services and scammers</t>
        </is>
      </c>
      <c r="G132" s="59" t="inlineStr">
        <is>
          <t>Booked 3 bookings so far and out of them 2 were horrible. Today’s were particularly bad because they charged me a bomb but didn’t provided all the services. After raising the concerns, no one is looking into it. The person who visited, I asked them to provide all the services I paid for and they gave me some vague answers and avoided doing. I PAID FOR SERVICES! How can you refuse to do them?!!!!!! Never again booking this just to save a few bucks because Urban Company was charging slightly higher. But at least they don’t scam people.</t>
        </is>
      </c>
      <c r="H132" s="9" t="inlineStr">
        <is>
          <t>service_quality</t>
        </is>
      </c>
      <c r="I132" s="9" t="inlineStr">
        <is>
          <t>rushed_or_incomplete</t>
        </is>
      </c>
      <c r="J132" s="9" t="inlineStr">
        <is>
          <t>payment_refund, support</t>
        </is>
      </c>
      <c r="K132" s="9" t="inlineStr">
        <is>
          <t>yes</t>
        </is>
      </c>
      <c r="L132" s="9" t="inlineStr">
        <is>
          <t>yes</t>
        </is>
      </c>
      <c r="M132" s="9" t="inlineStr">
        <is>
          <t>high</t>
        </is>
      </c>
      <c r="N132" s="9" t="inlineStr">
        <is>
          <t>yes</t>
        </is>
      </c>
      <c r="O132" s="9" t="inlineStr">
        <is>
          <t>unknown</t>
        </is>
      </c>
      <c r="P132" s="9" t="inlineStr"/>
      <c r="Q132" s="9" t="n">
        <v>0</v>
      </c>
      <c r="R132" s="59" t="inlineStr">
        <is>
          <t>they charged me a bomb but didn’t provided all the services. After raising the concerns, no one is looking into it.</t>
        </is>
      </c>
      <c r="S132" s="9" t="inlineStr">
        <is>
          <t>service_quality</t>
        </is>
      </c>
      <c r="T132" s="9" t="inlineStr">
        <is>
          <t>service_quality</t>
        </is>
      </c>
      <c r="U132" s="59" t="inlineStr"/>
    </row>
    <row r="133">
      <c r="A133" s="9" t="n">
        <v>132</v>
      </c>
      <c r="B133" s="58" t="n">
        <v>46291</v>
      </c>
      <c r="C133" s="9" t="str">
        <f>TEXT(B133,"yyyy-mm")</f>
        <v>2026-09</v>
      </c>
      <c r="D133" s="9" t="n">
        <v>1</v>
      </c>
      <c r="E133" s="9" t="inlineStr">
        <is>
          <t>18.8.0</t>
        </is>
      </c>
      <c r="F133" s="59" t="inlineStr">
        <is>
          <t>Bad app</t>
        </is>
      </c>
      <c r="G133" s="59" t="inlineStr">
        <is>
          <t>Running fake advertisements to attract customers and waste time. Don’t rely on such ads.</t>
        </is>
      </c>
      <c r="H133" s="9" t="inlineStr">
        <is>
          <t>price_clarity</t>
        </is>
      </c>
      <c r="I133" s="9" t="inlineStr">
        <is>
          <t>offer_not_honoured</t>
        </is>
      </c>
      <c r="J133" s="9" t="inlineStr"/>
      <c r="K133" s="9" t="inlineStr">
        <is>
          <t>no</t>
        </is>
      </c>
      <c r="L133" s="9" t="inlineStr">
        <is>
          <t>no</t>
        </is>
      </c>
      <c r="M133" s="9" t="inlineStr">
        <is>
          <t>low</t>
        </is>
      </c>
      <c r="N133" s="9" t="inlineStr">
        <is>
          <t>no</t>
        </is>
      </c>
      <c r="O133" s="9" t="inlineStr">
        <is>
          <t>unknown</t>
        </is>
      </c>
      <c r="P133" s="9" t="inlineStr"/>
      <c r="Q133" s="9" t="n">
        <v>0</v>
      </c>
      <c r="R133" s="59" t="inlineStr">
        <is>
          <t>Running fake advertisements to attract customers and waste time. Don’t rely on such ads.</t>
        </is>
      </c>
      <c r="S133" s="9" t="inlineStr">
        <is>
          <t>price_clarity</t>
        </is>
      </c>
      <c r="T133" s="9" t="inlineStr">
        <is>
          <t>price_clarity</t>
        </is>
      </c>
      <c r="U133" s="59" t="inlineStr"/>
    </row>
    <row r="134">
      <c r="A134" s="9" t="n">
        <v>133</v>
      </c>
      <c r="B134" s="58" t="n">
        <v>46290</v>
      </c>
      <c r="C134" s="9" t="str">
        <f>TEXT(B134,"yyyy-mm")</f>
        <v>2026-09</v>
      </c>
      <c r="D134" s="9" t="n">
        <v>2</v>
      </c>
      <c r="E134" s="9" t="inlineStr">
        <is>
          <t>18.8.0</t>
        </is>
      </c>
      <c r="F134" s="59" t="inlineStr">
        <is>
          <t>Not charging appropriately as mentioned</t>
        </is>
      </c>
      <c r="G134" s="59" t="inlineStr">
        <is>
          <t>They are not charging as per mentioned, at the time of final payment they put extra charges</t>
        </is>
      </c>
      <c r="H134" s="9" t="inlineStr">
        <is>
          <t>price_clarity</t>
        </is>
      </c>
      <c r="I134" s="9" t="inlineStr">
        <is>
          <t>hidden_charges</t>
        </is>
      </c>
      <c r="J134" s="9" t="inlineStr"/>
      <c r="K134" s="9" t="inlineStr">
        <is>
          <t>no</t>
        </is>
      </c>
      <c r="L134" s="9" t="inlineStr">
        <is>
          <t>no</t>
        </is>
      </c>
      <c r="M134" s="9" t="inlineStr">
        <is>
          <t>medium</t>
        </is>
      </c>
      <c r="N134" s="9" t="inlineStr">
        <is>
          <t>no</t>
        </is>
      </c>
      <c r="O134" s="9" t="inlineStr">
        <is>
          <t>unknown</t>
        </is>
      </c>
      <c r="P134" s="9" t="inlineStr"/>
      <c r="Q134" s="9" t="n">
        <v>0</v>
      </c>
      <c r="R134" s="59" t="inlineStr">
        <is>
          <t>They are not charging as per mentioned, at the time of final payment they put extra charges</t>
        </is>
      </c>
      <c r="S134" s="9" t="inlineStr">
        <is>
          <t>price_clarity</t>
        </is>
      </c>
      <c r="T134" s="9" t="inlineStr">
        <is>
          <t>price_clarity</t>
        </is>
      </c>
      <c r="U134" s="59" t="inlineStr"/>
    </row>
    <row r="135">
      <c r="A135" s="9" t="n">
        <v>134</v>
      </c>
      <c r="B135" s="58" t="n">
        <v>46290</v>
      </c>
      <c r="C135" s="9" t="str">
        <f>TEXT(B135,"yyyy-mm")</f>
        <v>2026-09</v>
      </c>
      <c r="D135" s="9" t="n">
        <v>5</v>
      </c>
      <c r="E135" s="9" t="inlineStr">
        <is>
          <t>18.8.0</t>
        </is>
      </c>
      <c r="F135" s="59" t="inlineStr">
        <is>
          <t>Amazing Experience!!</t>
        </is>
      </c>
      <c r="G135" s="59" t="inlineStr">
        <is>
          <t>I have become a BIG FAN of YES MADAM !!!There services are great and partners are wonderfully trained</t>
        </is>
      </c>
      <c r="H135" s="9" t="inlineStr">
        <is>
          <t>praise</t>
        </is>
      </c>
      <c r="I135" s="9" t="inlineStr">
        <is>
          <t>praise_service</t>
        </is>
      </c>
      <c r="J135" s="9" t="inlineStr"/>
      <c r="K135" s="9" t="inlineStr">
        <is>
          <t>no</t>
        </is>
      </c>
      <c r="L135" s="9" t="inlineStr">
        <is>
          <t>no</t>
        </is>
      </c>
      <c r="M135" s="9" t="inlineStr">
        <is>
          <t>none</t>
        </is>
      </c>
      <c r="N135" s="9" t="inlineStr">
        <is>
          <t>no</t>
        </is>
      </c>
      <c r="O135" s="9" t="inlineStr">
        <is>
          <t>unknown</t>
        </is>
      </c>
      <c r="P135" s="9" t="inlineStr"/>
      <c r="Q135" s="9" t="n">
        <v>0</v>
      </c>
      <c r="R135" s="59" t="inlineStr">
        <is>
          <t>I have become a BIG FAN of YES MADAM !!!There services are great and partners are wonderfully trained</t>
        </is>
      </c>
      <c r="S135" s="9" t="inlineStr">
        <is>
          <t>praise</t>
        </is>
      </c>
      <c r="T135" s="9" t="inlineStr">
        <is>
          <t>praise</t>
        </is>
      </c>
      <c r="U135" s="59" t="inlineStr"/>
    </row>
    <row r="136">
      <c r="A136" s="9" t="n">
        <v>135</v>
      </c>
      <c r="B136" s="58" t="n">
        <v>46290</v>
      </c>
      <c r="C136" s="9" t="str">
        <f>TEXT(B136,"yyyy-mm")</f>
        <v>2026-09</v>
      </c>
      <c r="D136" s="9" t="n">
        <v>1</v>
      </c>
      <c r="E136" s="9" t="inlineStr">
        <is>
          <t>18.8.0</t>
        </is>
      </c>
      <c r="F136" s="59" t="inlineStr">
        <is>
          <t>Very bad app even after booking they dont allot u any worker and they cancel last minute</t>
        </is>
      </c>
      <c r="G136" s="59" t="inlineStr">
        <is>
          <t>Very bad experience 
Cancelled my booking last minute and didn’t even inform when i called for customer care they shared the booking is cancelled 
Would not recommend this home service to anyone</t>
        </is>
      </c>
      <c r="H136" s="9" t="inlineStr">
        <is>
          <t>partner_cancellation</t>
        </is>
      </c>
      <c r="I136" s="9" t="inlineStr">
        <is>
          <t>last_minute_cancel</t>
        </is>
      </c>
      <c r="J136" s="9" t="inlineStr">
        <is>
          <t>support</t>
        </is>
      </c>
      <c r="K136" s="9" t="inlineStr">
        <is>
          <t>yes</t>
        </is>
      </c>
      <c r="L136" s="9" t="inlineStr">
        <is>
          <t>yes</t>
        </is>
      </c>
      <c r="M136" s="9" t="inlineStr">
        <is>
          <t>medium</t>
        </is>
      </c>
      <c r="N136" s="9" t="inlineStr">
        <is>
          <t>no</t>
        </is>
      </c>
      <c r="O136" s="9" t="inlineStr">
        <is>
          <t>unknown</t>
        </is>
      </c>
      <c r="P136" s="9" t="inlineStr"/>
      <c r="Q136" s="9" t="n">
        <v>0</v>
      </c>
      <c r="R136" s="59" t="inlineStr">
        <is>
          <t>Cancelled my booking last minute and didn’t even inform when i called for customer care they shared the booking is cancelled</t>
        </is>
      </c>
      <c r="S136" s="9" t="inlineStr">
        <is>
          <t>partner_cancellation</t>
        </is>
      </c>
      <c r="T136" s="9" t="inlineStr">
        <is>
          <t>partner_cancellation</t>
        </is>
      </c>
      <c r="U136" s="59" t="inlineStr"/>
    </row>
    <row r="137">
      <c r="A137" s="9" t="n">
        <v>136</v>
      </c>
      <c r="B137" s="58" t="n">
        <v>46290</v>
      </c>
      <c r="C137" s="9" t="str">
        <f>TEXT(B137,"yyyy-mm")</f>
        <v>2026-09</v>
      </c>
      <c r="D137" s="9" t="n">
        <v>4</v>
      </c>
      <c r="E137" s="9" t="inlineStr">
        <is>
          <t>18.8.0</t>
        </is>
      </c>
      <c r="F137" s="59" t="inlineStr">
        <is>
          <t>Service</t>
        </is>
      </c>
      <c r="G137" s="59" t="inlineStr">
        <is>
          <t>Previously sponges and gown were carried but this time it was not there</t>
        </is>
      </c>
      <c r="H137" s="9" t="inlineStr">
        <is>
          <t>product_fit</t>
        </is>
      </c>
      <c r="I137" s="9" t="inlineStr">
        <is>
          <t>missing_or_wrong_products</t>
        </is>
      </c>
      <c r="J137" s="9" t="inlineStr"/>
      <c r="K137" s="9" t="inlineStr">
        <is>
          <t>no</t>
        </is>
      </c>
      <c r="L137" s="9" t="inlineStr">
        <is>
          <t>no</t>
        </is>
      </c>
      <c r="M137" s="9" t="inlineStr">
        <is>
          <t>low</t>
        </is>
      </c>
      <c r="N137" s="9" t="inlineStr">
        <is>
          <t>no</t>
        </is>
      </c>
      <c r="O137" s="9" t="inlineStr">
        <is>
          <t>unknown</t>
        </is>
      </c>
      <c r="P137" s="9" t="inlineStr"/>
      <c r="Q137" s="9" t="n">
        <v>0</v>
      </c>
      <c r="R137" s="59" t="inlineStr">
        <is>
          <t>Previously sponges and gown were carried but this time it was not there</t>
        </is>
      </c>
      <c r="S137" s="9" t="inlineStr">
        <is>
          <t>product_fit</t>
        </is>
      </c>
      <c r="T137" s="9" t="inlineStr">
        <is>
          <t>product_fit</t>
        </is>
      </c>
      <c r="U137" s="59" t="inlineStr"/>
    </row>
    <row r="138">
      <c r="A138" s="9" t="n">
        <v>137</v>
      </c>
      <c r="B138" s="58" t="n">
        <v>46290</v>
      </c>
      <c r="C138" s="9" t="str">
        <f>TEXT(B138,"yyyy-mm")</f>
        <v>2026-09</v>
      </c>
      <c r="D138" s="9" t="n">
        <v>1</v>
      </c>
      <c r="E138" s="9" t="inlineStr">
        <is>
          <t>18.8.0</t>
        </is>
      </c>
      <c r="F138" s="59" t="inlineStr">
        <is>
          <t>Poor Service Management</t>
        </is>
      </c>
      <c r="G138" s="59" t="inlineStr">
        <is>
          <t>Poor service level. Despite confirmed and spoke to the service team nobody had come but service started by its own and completed. Pathetic service management team and they are least bothered about customer experience. When i raised complaint they called and spoke and supposed to call back but didn’t call back and now it’s showing ticket closed. Very sad about service level. My booking ID [id]</t>
        </is>
      </c>
      <c r="H138" s="9" t="inlineStr">
        <is>
          <t>partner_cancellation</t>
        </is>
      </c>
      <c r="I138" s="9" t="inlineStr">
        <is>
          <t>no_show</t>
        </is>
      </c>
      <c r="J138" s="9" t="inlineStr">
        <is>
          <t>app, support</t>
        </is>
      </c>
      <c r="K138" s="9" t="inlineStr">
        <is>
          <t>yes</t>
        </is>
      </c>
      <c r="L138" s="9" t="inlineStr">
        <is>
          <t>yes</t>
        </is>
      </c>
      <c r="M138" s="9" t="inlineStr">
        <is>
          <t>medium</t>
        </is>
      </c>
      <c r="N138" s="9" t="inlineStr">
        <is>
          <t>no</t>
        </is>
      </c>
      <c r="O138" s="9" t="inlineStr">
        <is>
          <t>unknown</t>
        </is>
      </c>
      <c r="P138" s="9" t="inlineStr"/>
      <c r="Q138" s="9" t="n">
        <v>0</v>
      </c>
      <c r="R138" s="59" t="inlineStr">
        <is>
          <t>Despite confirmed and spoke to the service team nobody had come but service started by its own and completed.</t>
        </is>
      </c>
      <c r="S138" s="9" t="inlineStr">
        <is>
          <t>partner_cancellation</t>
        </is>
      </c>
      <c r="T138" s="9" t="inlineStr">
        <is>
          <t>partner_cancellation</t>
        </is>
      </c>
      <c r="U138" s="59" t="inlineStr"/>
    </row>
    <row r="139">
      <c r="A139" s="9" t="n">
        <v>138</v>
      </c>
      <c r="B139" s="58" t="n">
        <v>46290</v>
      </c>
      <c r="C139" s="9" t="str">
        <f>TEXT(B139,"yyyy-mm")</f>
        <v>2026-09</v>
      </c>
      <c r="D139" s="9" t="n">
        <v>1</v>
      </c>
      <c r="E139" s="9" t="inlineStr">
        <is>
          <t>18.8.0</t>
        </is>
      </c>
      <c r="F139" s="59" t="inlineStr">
        <is>
          <t>Yes madam free pedicure service</t>
        </is>
      </c>
      <c r="G139" s="59" t="inlineStr">
        <is>
          <t>The service is not available. I have been trying to book the service since 2-3 days regularly at 1pm sharp . It gets added to cart yet at checkout the app suddenly crashes after 2 minutes of loading and then shows sold out. I think this whole scheme is just a marketing gimmick to attract more app downloads unnecessarily. No customer support available. Extremely disappointing experience.</t>
        </is>
      </c>
      <c r="H139" s="9" t="inlineStr">
        <is>
          <t>price_clarity</t>
        </is>
      </c>
      <c r="I139" s="9" t="inlineStr">
        <is>
          <t>offer_not_honoured</t>
        </is>
      </c>
      <c r="J139" s="9" t="inlineStr">
        <is>
          <t>app, support</t>
        </is>
      </c>
      <c r="K139" s="9" t="inlineStr">
        <is>
          <t>yes</t>
        </is>
      </c>
      <c r="L139" s="9" t="inlineStr">
        <is>
          <t>yes</t>
        </is>
      </c>
      <c r="M139" s="9" t="inlineStr">
        <is>
          <t>low</t>
        </is>
      </c>
      <c r="N139" s="9" t="inlineStr">
        <is>
          <t>no</t>
        </is>
      </c>
      <c r="O139" s="9" t="inlineStr">
        <is>
          <t>mani_pedi</t>
        </is>
      </c>
      <c r="P139" s="9" t="inlineStr"/>
      <c r="Q139" s="9" t="n">
        <v>0</v>
      </c>
      <c r="R139" s="59" t="inlineStr">
        <is>
          <t>I think this whole scheme is just a marketing gimmick to attract more app downloads unnecessarily.</t>
        </is>
      </c>
      <c r="S139" s="9" t="inlineStr">
        <is>
          <t>price_clarity</t>
        </is>
      </c>
      <c r="T139" s="9" t="inlineStr">
        <is>
          <t>price_clarity</t>
        </is>
      </c>
      <c r="U139" s="59" t="inlineStr"/>
    </row>
    <row r="140">
      <c r="A140" s="9" t="n">
        <v>139</v>
      </c>
      <c r="B140" s="58" t="n">
        <v>46290</v>
      </c>
      <c r="C140" s="9" t="str">
        <f>TEXT(B140,"yyyy-mm")</f>
        <v>2026-09</v>
      </c>
      <c r="D140" s="9" t="n">
        <v>5</v>
      </c>
      <c r="E140" s="9" t="inlineStr">
        <is>
          <t>18.8.0</t>
        </is>
      </c>
      <c r="F140" s="59" t="inlineStr">
        <is>
          <t>Hydra Facial</t>
        </is>
      </c>
      <c r="G140" s="59" t="inlineStr">
        <is>
          <t>[name] has done a very nice facial. Would absolutely recommend her for future facial.</t>
        </is>
      </c>
      <c r="H140" s="9" t="inlineStr">
        <is>
          <t>praise</t>
        </is>
      </c>
      <c r="I140" s="9" t="inlineStr">
        <is>
          <t>praise_professional</t>
        </is>
      </c>
      <c r="J140" s="9" t="inlineStr"/>
      <c r="K140" s="9" t="inlineStr">
        <is>
          <t>no</t>
        </is>
      </c>
      <c r="L140" s="9" t="inlineStr">
        <is>
          <t>no</t>
        </is>
      </c>
      <c r="M140" s="9" t="inlineStr">
        <is>
          <t>none</t>
        </is>
      </c>
      <c r="N140" s="9" t="inlineStr">
        <is>
          <t>no</t>
        </is>
      </c>
      <c r="O140" s="9" t="inlineStr">
        <is>
          <t>facial_cleanup</t>
        </is>
      </c>
      <c r="P140" s="9" t="inlineStr"/>
      <c r="Q140" s="9" t="n">
        <v>0</v>
      </c>
      <c r="R140" s="59" t="inlineStr">
        <is>
          <t>[name] has done a very nice facial. Would absolutely recommend her for future facial.</t>
        </is>
      </c>
      <c r="S140" s="9" t="inlineStr">
        <is>
          <t>praise</t>
        </is>
      </c>
      <c r="T140" s="9" t="inlineStr">
        <is>
          <t>praise</t>
        </is>
      </c>
      <c r="U140" s="59" t="inlineStr"/>
    </row>
    <row r="141">
      <c r="A141" s="9" t="n">
        <v>140</v>
      </c>
      <c r="B141" s="58" t="n">
        <v>46290</v>
      </c>
      <c r="C141" s="9" t="str">
        <f>TEXT(B141,"yyyy-mm")</f>
        <v>2026-09</v>
      </c>
      <c r="D141" s="9" t="n">
        <v>1</v>
      </c>
      <c r="E141" s="9" t="inlineStr">
        <is>
          <t>18.8.0</t>
        </is>
      </c>
      <c r="F141" s="59" t="inlineStr">
        <is>
          <t>Free pedicure</t>
        </is>
      </c>
      <c r="G141" s="59" t="inlineStr">
        <is>
          <t>You guys need to stop running the free predicure scam</t>
        </is>
      </c>
      <c r="H141" s="9" t="inlineStr">
        <is>
          <t>price_clarity</t>
        </is>
      </c>
      <c r="I141" s="9" t="inlineStr">
        <is>
          <t>offer_not_honoured</t>
        </is>
      </c>
      <c r="J141" s="9" t="inlineStr"/>
      <c r="K141" s="9" t="inlineStr">
        <is>
          <t>no</t>
        </is>
      </c>
      <c r="L141" s="9" t="inlineStr">
        <is>
          <t>no</t>
        </is>
      </c>
      <c r="M141" s="9" t="inlineStr">
        <is>
          <t>low</t>
        </is>
      </c>
      <c r="N141" s="9" t="inlineStr">
        <is>
          <t>no</t>
        </is>
      </c>
      <c r="O141" s="9" t="inlineStr">
        <is>
          <t>mani_pedi</t>
        </is>
      </c>
      <c r="P141" s="9" t="inlineStr"/>
      <c r="Q141" s="9" t="n">
        <v>0</v>
      </c>
      <c r="R141" s="59" t="inlineStr">
        <is>
          <t>You guys need to stop running the free predicure scam</t>
        </is>
      </c>
      <c r="S141" s="9" t="inlineStr">
        <is>
          <t>price_clarity</t>
        </is>
      </c>
      <c r="T141" s="9" t="inlineStr">
        <is>
          <t>price_clarity</t>
        </is>
      </c>
      <c r="U141" s="59" t="inlineStr"/>
    </row>
    <row r="142">
      <c r="A142" s="9" t="n">
        <v>141</v>
      </c>
      <c r="B142" s="58" t="n">
        <v>46289</v>
      </c>
      <c r="C142" s="9" t="str">
        <f>TEXT(B142,"yyyy-mm")</f>
        <v>2026-09</v>
      </c>
      <c r="D142" s="9" t="n">
        <v>5</v>
      </c>
      <c r="E142" s="9" t="inlineStr">
        <is>
          <t>18.8.0</t>
        </is>
      </c>
      <c r="F142" s="59" t="inlineStr">
        <is>
          <t>Review</t>
        </is>
      </c>
      <c r="G142" s="59" t="inlineStr">
        <is>
          <t>Good APP. User friendly and great customer service</t>
        </is>
      </c>
      <c r="H142" s="9" t="inlineStr">
        <is>
          <t>praise</t>
        </is>
      </c>
      <c r="I142" s="9" t="inlineStr">
        <is>
          <t>praise_service</t>
        </is>
      </c>
      <c r="J142" s="9" t="inlineStr"/>
      <c r="K142" s="9" t="inlineStr">
        <is>
          <t>no</t>
        </is>
      </c>
      <c r="L142" s="9" t="inlineStr">
        <is>
          <t>no</t>
        </is>
      </c>
      <c r="M142" s="9" t="inlineStr">
        <is>
          <t>none</t>
        </is>
      </c>
      <c r="N142" s="9" t="inlineStr">
        <is>
          <t>no</t>
        </is>
      </c>
      <c r="O142" s="9" t="inlineStr">
        <is>
          <t>unknown</t>
        </is>
      </c>
      <c r="P142" s="9" t="inlineStr"/>
      <c r="Q142" s="9" t="n">
        <v>0</v>
      </c>
      <c r="R142" s="59" t="inlineStr">
        <is>
          <t>Good APP. User friendly and great customer service</t>
        </is>
      </c>
      <c r="S142" s="9" t="inlineStr">
        <is>
          <t>praise</t>
        </is>
      </c>
      <c r="T142" s="9" t="inlineStr">
        <is>
          <t>praise</t>
        </is>
      </c>
      <c r="U142" s="59" t="inlineStr"/>
    </row>
    <row r="143">
      <c r="A143" s="9" t="n">
        <v>142</v>
      </c>
      <c r="B143" s="58" t="n">
        <v>46289</v>
      </c>
      <c r="C143" s="9" t="str">
        <f>TEXT(B143,"yyyy-mm")</f>
        <v>2026-09</v>
      </c>
      <c r="D143" s="9" t="n">
        <v>1</v>
      </c>
      <c r="E143" s="9" t="inlineStr">
        <is>
          <t>18.8.0</t>
        </is>
      </c>
      <c r="F143" s="59" t="inlineStr">
        <is>
          <t>Worst app .worst executives and worst professionals</t>
        </is>
      </c>
      <c r="G143" s="59" t="inlineStr">
        <is>
          <t>Never reach on time. Total time waste . Liars . Don’t refund the amount they claimed. Pathetic system.</t>
        </is>
      </c>
      <c r="H143" s="9" t="inlineStr">
        <is>
          <t>payment_refund</t>
        </is>
      </c>
      <c r="I143" s="9" t="inlineStr">
        <is>
          <t>refund_denied</t>
        </is>
      </c>
      <c r="J143" s="9" t="inlineStr">
        <is>
          <t>delay</t>
        </is>
      </c>
      <c r="K143" s="9" t="inlineStr">
        <is>
          <t>no</t>
        </is>
      </c>
      <c r="L143" s="9" t="inlineStr">
        <is>
          <t>no</t>
        </is>
      </c>
      <c r="M143" s="9" t="inlineStr">
        <is>
          <t>high</t>
        </is>
      </c>
      <c r="N143" s="9" t="inlineStr">
        <is>
          <t>no</t>
        </is>
      </c>
      <c r="O143" s="9" t="inlineStr">
        <is>
          <t>unknown</t>
        </is>
      </c>
      <c r="P143" s="9" t="inlineStr"/>
      <c r="Q143" s="9" t="n">
        <v>0</v>
      </c>
      <c r="R143" s="59" t="inlineStr">
        <is>
          <t>Never reach on time. Total time waste . Liars . Don’t refund the amount they claimed.</t>
        </is>
      </c>
      <c r="S143" s="9" t="inlineStr">
        <is>
          <t>payment_refund</t>
        </is>
      </c>
      <c r="T143" s="9" t="inlineStr">
        <is>
          <t>delay</t>
        </is>
      </c>
      <c r="U143" s="59" t="inlineStr">
        <is>
          <t>Late arrival is a general gripe, but the concrete money grievance is the unpaid refund ('Liars. Don't refund the amount they claimed'); delay is secondary.</t>
        </is>
      </c>
    </row>
    <row r="144">
      <c r="A144" s="9" t="n">
        <v>143</v>
      </c>
      <c r="B144" s="58" t="n">
        <v>46289</v>
      </c>
      <c r="C144" s="9" t="str">
        <f>TEXT(B144,"yyyy-mm")</f>
        <v>2026-09</v>
      </c>
      <c r="D144" s="9" t="n">
        <v>5</v>
      </c>
      <c r="E144" s="9" t="inlineStr">
        <is>
          <t>18.8.0</t>
        </is>
      </c>
      <c r="F144" s="59" t="inlineStr">
        <is>
          <t>Great Service</t>
        </is>
      </c>
      <c r="G144" s="59" t="inlineStr">
        <is>
          <t>It was great service, Love the professionalism and perfect Hydra Facial done by the Agent. I would love to take the service again. [name] give her raise &amp; give 5 star.</t>
        </is>
      </c>
      <c r="H144" s="9" t="inlineStr">
        <is>
          <t>praise</t>
        </is>
      </c>
      <c r="I144" s="9" t="inlineStr">
        <is>
          <t>praise_professional</t>
        </is>
      </c>
      <c r="J144" s="9" t="inlineStr"/>
      <c r="K144" s="9" t="inlineStr">
        <is>
          <t>no</t>
        </is>
      </c>
      <c r="L144" s="9" t="inlineStr">
        <is>
          <t>no</t>
        </is>
      </c>
      <c r="M144" s="9" t="inlineStr">
        <is>
          <t>none</t>
        </is>
      </c>
      <c r="N144" s="9" t="inlineStr">
        <is>
          <t>no</t>
        </is>
      </c>
      <c r="O144" s="9" t="inlineStr">
        <is>
          <t>facial_cleanup</t>
        </is>
      </c>
      <c r="P144" s="9" t="inlineStr"/>
      <c r="Q144" s="9" t="n">
        <v>0</v>
      </c>
      <c r="R144" s="59" t="inlineStr">
        <is>
          <t>Love the professionalism and perfect Hydra Facial done by the Agent. I would love to take the service again.</t>
        </is>
      </c>
      <c r="S144" s="9" t="inlineStr">
        <is>
          <t>praise</t>
        </is>
      </c>
      <c r="T144" s="9" t="inlineStr">
        <is>
          <t>praise</t>
        </is>
      </c>
      <c r="U144" s="59" t="inlineStr"/>
    </row>
    <row r="145">
      <c r="A145" s="9" t="n">
        <v>144</v>
      </c>
      <c r="B145" s="58" t="n">
        <v>46289</v>
      </c>
      <c r="C145" s="9" t="str">
        <f>TEXT(B145,"yyyy-mm")</f>
        <v>2026-09</v>
      </c>
      <c r="D145" s="9" t="n">
        <v>1</v>
      </c>
      <c r="E145" s="9" t="inlineStr">
        <is>
          <t>18.8.0</t>
        </is>
      </c>
      <c r="F145" s="59" t="inlineStr">
        <is>
          <t>Don’t download it</t>
        </is>
      </c>
      <c r="G145" s="59" t="inlineStr">
        <is>
          <t>Worst app ever, false advertising, time waste don’t download it or else you will regret.</t>
        </is>
      </c>
      <c r="H145" s="9" t="inlineStr">
        <is>
          <t>price_clarity</t>
        </is>
      </c>
      <c r="I145" s="9" t="inlineStr">
        <is>
          <t>offer_not_honoured</t>
        </is>
      </c>
      <c r="J145" s="9" t="inlineStr"/>
      <c r="K145" s="9" t="inlineStr">
        <is>
          <t>no</t>
        </is>
      </c>
      <c r="L145" s="9" t="inlineStr">
        <is>
          <t>no</t>
        </is>
      </c>
      <c r="M145" s="9" t="inlineStr">
        <is>
          <t>low</t>
        </is>
      </c>
      <c r="N145" s="9" t="inlineStr">
        <is>
          <t>no</t>
        </is>
      </c>
      <c r="O145" s="9" t="inlineStr">
        <is>
          <t>unknown</t>
        </is>
      </c>
      <c r="P145" s="9" t="inlineStr"/>
      <c r="Q145" s="9" t="n">
        <v>0</v>
      </c>
      <c r="R145" s="59" t="inlineStr">
        <is>
          <t>Worst app ever, false advertising, time waste don’t download it or else you will regret.</t>
        </is>
      </c>
      <c r="S145" s="9" t="inlineStr">
        <is>
          <t>price_clarity</t>
        </is>
      </c>
      <c r="T145" s="9" t="inlineStr">
        <is>
          <t>price_clarity</t>
        </is>
      </c>
      <c r="U145" s="59" t="inlineStr"/>
    </row>
    <row r="146">
      <c r="A146" s="9" t="n">
        <v>145</v>
      </c>
      <c r="B146" s="58" t="n">
        <v>46289</v>
      </c>
      <c r="C146" s="9" t="str">
        <f>TEXT(B146,"yyyy-mm")</f>
        <v>2026-09</v>
      </c>
      <c r="D146" s="9" t="n">
        <v>3</v>
      </c>
      <c r="E146" s="9" t="inlineStr">
        <is>
          <t>18.8.0</t>
        </is>
      </c>
      <c r="F146" s="59" t="inlineStr">
        <is>
          <t>Fund remain unpaid</t>
        </is>
      </c>
      <c r="G146" s="59" t="inlineStr">
        <is>
          <t>Fund not returned back</t>
        </is>
      </c>
      <c r="H146" s="9" t="inlineStr">
        <is>
          <t>payment_refund</t>
        </is>
      </c>
      <c r="I146" s="9" t="inlineStr">
        <is>
          <t>refund_delayed</t>
        </is>
      </c>
      <c r="J146" s="9" t="inlineStr"/>
      <c r="K146" s="9" t="inlineStr">
        <is>
          <t>no</t>
        </is>
      </c>
      <c r="L146" s="9" t="inlineStr">
        <is>
          <t>no</t>
        </is>
      </c>
      <c r="M146" s="9" t="inlineStr">
        <is>
          <t>high</t>
        </is>
      </c>
      <c r="N146" s="9" t="inlineStr">
        <is>
          <t>no</t>
        </is>
      </c>
      <c r="O146" s="9" t="inlineStr">
        <is>
          <t>unknown</t>
        </is>
      </c>
      <c r="P146" s="9" t="inlineStr"/>
      <c r="Q146" s="9" t="n">
        <v>0</v>
      </c>
      <c r="R146" s="59" t="inlineStr">
        <is>
          <t>Fund remain unpaid. Fund not returned back</t>
        </is>
      </c>
      <c r="S146" s="9" t="inlineStr">
        <is>
          <t>payment_refund</t>
        </is>
      </c>
      <c r="T146" s="9" t="inlineStr">
        <is>
          <t>payment_refund</t>
        </is>
      </c>
      <c r="U146" s="59" t="inlineStr"/>
    </row>
    <row r="147">
      <c r="A147" s="9" t="n">
        <v>146</v>
      </c>
      <c r="B147" s="58" t="n">
        <v>46288</v>
      </c>
      <c r="C147" s="9" t="str">
        <f>TEXT(B147,"yyyy-mm")</f>
        <v>2026-09</v>
      </c>
      <c r="D147" s="9" t="n">
        <v>5</v>
      </c>
      <c r="E147" s="9" t="inlineStr">
        <is>
          <t>18.8.0</t>
        </is>
      </c>
      <c r="F147" s="59" t="inlineStr">
        <is>
          <t>Excellent massage by [name].</t>
        </is>
      </c>
      <c r="G147" s="59" t="inlineStr">
        <is>
          <t>Thank u yes madam for giving good experties for my back problems</t>
        </is>
      </c>
      <c r="H147" s="9" t="inlineStr">
        <is>
          <t>praise</t>
        </is>
      </c>
      <c r="I147" s="9" t="inlineStr">
        <is>
          <t>praise_professional</t>
        </is>
      </c>
      <c r="J147" s="9" t="inlineStr"/>
      <c r="K147" s="9" t="inlineStr">
        <is>
          <t>no</t>
        </is>
      </c>
      <c r="L147" s="9" t="inlineStr">
        <is>
          <t>no</t>
        </is>
      </c>
      <c r="M147" s="9" t="inlineStr">
        <is>
          <t>none</t>
        </is>
      </c>
      <c r="N147" s="9" t="inlineStr">
        <is>
          <t>no</t>
        </is>
      </c>
      <c r="O147" s="9" t="inlineStr">
        <is>
          <t>massage_spa</t>
        </is>
      </c>
      <c r="P147" s="9" t="inlineStr"/>
      <c r="Q147" s="9" t="n">
        <v>0</v>
      </c>
      <c r="R147" s="59" t="inlineStr">
        <is>
          <t>Excellent massage by [name]. Thank u yes madam for giving good experties for my back problems</t>
        </is>
      </c>
      <c r="S147" s="9" t="inlineStr">
        <is>
          <t>praise</t>
        </is>
      </c>
      <c r="T147" s="9" t="inlineStr">
        <is>
          <t>praise</t>
        </is>
      </c>
      <c r="U147" s="59" t="inlineStr"/>
    </row>
    <row r="148">
      <c r="A148" s="9" t="n">
        <v>147</v>
      </c>
      <c r="B148" s="58" t="n">
        <v>46288</v>
      </c>
      <c r="C148" s="9" t="str">
        <f>TEXT(B148,"yyyy-mm")</f>
        <v>2026-09</v>
      </c>
      <c r="D148" s="9" t="n">
        <v>1</v>
      </c>
      <c r="E148" s="9" t="inlineStr">
        <is>
          <t>18.8.0</t>
        </is>
      </c>
      <c r="F148" s="59" t="inlineStr">
        <is>
          <t>[name]</t>
        </is>
      </c>
      <c r="G148" s="59" t="inlineStr">
        <is>
          <t>Hopeless app they are not committed to the timing. It happened thrice with me the professional didn’t arrive and I had to connect to them. Then I understood that professional is not coming . Highly unprofessional.</t>
        </is>
      </c>
      <c r="H148" s="9" t="inlineStr">
        <is>
          <t>partner_cancellation</t>
        </is>
      </c>
      <c r="I148" s="9" t="inlineStr">
        <is>
          <t>no_show</t>
        </is>
      </c>
      <c r="J148" s="9" t="inlineStr">
        <is>
          <t>delay</t>
        </is>
      </c>
      <c r="K148" s="9" t="inlineStr">
        <is>
          <t>yes</t>
        </is>
      </c>
      <c r="L148" s="9" t="inlineStr">
        <is>
          <t>no</t>
        </is>
      </c>
      <c r="M148" s="9" t="inlineStr">
        <is>
          <t>medium</t>
        </is>
      </c>
      <c r="N148" s="9" t="inlineStr">
        <is>
          <t>no</t>
        </is>
      </c>
      <c r="O148" s="9" t="inlineStr">
        <is>
          <t>unknown</t>
        </is>
      </c>
      <c r="P148" s="9" t="inlineStr"/>
      <c r="Q148" s="9" t="n">
        <v>0</v>
      </c>
      <c r="R148" s="59" t="inlineStr">
        <is>
          <t>It happened thrice with me the professional didn’t arrive and I had to connect to them.</t>
        </is>
      </c>
      <c r="S148" s="9" t="inlineStr">
        <is>
          <t>partner_cancellation</t>
        </is>
      </c>
      <c r="T148" s="9" t="inlineStr">
        <is>
          <t>partner_cancellation</t>
        </is>
      </c>
      <c r="U148" s="59" t="inlineStr"/>
    </row>
    <row r="149">
      <c r="A149" s="9" t="n">
        <v>148</v>
      </c>
      <c r="B149" s="58" t="n">
        <v>46288</v>
      </c>
      <c r="C149" s="9" t="str">
        <f>TEXT(B149,"yyyy-mm")</f>
        <v>2026-09</v>
      </c>
      <c r="D149" s="9" t="n">
        <v>1</v>
      </c>
      <c r="E149" s="9" t="inlineStr">
        <is>
          <t>18.8.0</t>
        </is>
      </c>
      <c r="F149" s="59" t="inlineStr">
        <is>
          <t>Scam</t>
        </is>
      </c>
      <c r="G149" s="59" t="inlineStr">
        <is>
          <t>Everything was good but the scam they did every time in the name of free and kind of service sometimes they give I always tried to take one but they jam screen and within 1min it’s over to I’ll book from Urbanic with high coast but the faurd you do is to bad I’m deleting it and making everyone else delete this app to</t>
        </is>
      </c>
      <c r="H149" s="9" t="inlineStr">
        <is>
          <t>price_clarity</t>
        </is>
      </c>
      <c r="I149" s="9" t="inlineStr">
        <is>
          <t>offer_not_honoured</t>
        </is>
      </c>
      <c r="J149" s="9" t="inlineStr">
        <is>
          <t>app</t>
        </is>
      </c>
      <c r="K149" s="9" t="inlineStr">
        <is>
          <t>no</t>
        </is>
      </c>
      <c r="L149" s="9" t="inlineStr">
        <is>
          <t>no</t>
        </is>
      </c>
      <c r="M149" s="9" t="inlineStr">
        <is>
          <t>low</t>
        </is>
      </c>
      <c r="N149" s="9" t="inlineStr">
        <is>
          <t>yes</t>
        </is>
      </c>
      <c r="O149" s="9" t="inlineStr">
        <is>
          <t>unknown</t>
        </is>
      </c>
      <c r="P149" s="9" t="inlineStr"/>
      <c r="Q149" s="9" t="n">
        <v>0</v>
      </c>
      <c r="R149" s="59" t="inlineStr">
        <is>
          <t>I always tried to take one but they jam screen and within 1min it’s over</t>
        </is>
      </c>
      <c r="S149" s="9" t="inlineStr">
        <is>
          <t>price_clarity</t>
        </is>
      </c>
      <c r="T149" s="9" t="inlineStr">
        <is>
          <t>price_clarity</t>
        </is>
      </c>
      <c r="U149" s="59" t="inlineStr"/>
    </row>
    <row r="150">
      <c r="A150" s="9" t="n">
        <v>149</v>
      </c>
      <c r="B150" s="58" t="n">
        <v>46287</v>
      </c>
      <c r="C150" s="9" t="str">
        <f>TEXT(B150,"yyyy-mm")</f>
        <v>2026-09</v>
      </c>
      <c r="D150" s="9" t="n">
        <v>1</v>
      </c>
      <c r="E150" s="9" t="inlineStr">
        <is>
          <t>18.8.0</t>
        </is>
      </c>
      <c r="F150" s="59" t="inlineStr">
        <is>
          <t>Scam notifications</t>
        </is>
      </c>
      <c r="G150" s="59" t="inlineStr">
        <is>
          <t>Scam notifications</t>
        </is>
      </c>
      <c r="H150" s="9" t="inlineStr">
        <is>
          <t>price_clarity</t>
        </is>
      </c>
      <c r="I150" s="9" t="inlineStr">
        <is>
          <t>offer_not_honoured</t>
        </is>
      </c>
      <c r="J150" s="9" t="inlineStr"/>
      <c r="K150" s="9" t="inlineStr">
        <is>
          <t>no</t>
        </is>
      </c>
      <c r="L150" s="9" t="inlineStr">
        <is>
          <t>no</t>
        </is>
      </c>
      <c r="M150" s="9" t="inlineStr">
        <is>
          <t>low</t>
        </is>
      </c>
      <c r="N150" s="9" t="inlineStr">
        <is>
          <t>no</t>
        </is>
      </c>
      <c r="O150" s="9" t="inlineStr">
        <is>
          <t>unknown</t>
        </is>
      </c>
      <c r="P150" s="9" t="inlineStr"/>
      <c r="Q150" s="9" t="n">
        <v>0</v>
      </c>
      <c r="R150" s="59" t="inlineStr">
        <is>
          <t>Scam notifications</t>
        </is>
      </c>
      <c r="S150" s="9" t="inlineStr">
        <is>
          <t>app</t>
        </is>
      </c>
      <c r="T150" s="9" t="inlineStr">
        <is>
          <t>price_clarity</t>
        </is>
      </c>
      <c r="U150" s="59" t="inlineStr">
        <is>
          <t>'Scam' notifications means deceptive ones, not just too many; for this app that is the fake coupon/credit promo pattern (see #11, #99, #122), which rule 3 maps to offer_not_honoured.</t>
        </is>
      </c>
    </row>
    <row r="151">
      <c r="A151" s="9" t="n">
        <v>150</v>
      </c>
      <c r="B151" s="58" t="n">
        <v>46287</v>
      </c>
      <c r="C151" s="9" t="str">
        <f>TEXT(B151,"yyyy-mm")</f>
        <v>2026-09</v>
      </c>
      <c r="D151" s="9" t="n">
        <v>1</v>
      </c>
      <c r="E151" s="9" t="inlineStr">
        <is>
          <t>18.8.0</t>
        </is>
      </c>
      <c r="F151" s="59" t="inlineStr">
        <is>
          <t>cheap tactics, products are not enough</t>
        </is>
      </c>
      <c r="G151" s="59" t="inlineStr">
        <is>
          <t>they send little dibbis with product for salon, which is not enough even for a slim girl, always some part of face remains for face mask, cream is not enough.. WAX ALSO GETS OVER IN HALF HANDS</t>
        </is>
      </c>
      <c r="H151" s="9" t="inlineStr">
        <is>
          <t>product_fit</t>
        </is>
      </c>
      <c r="I151" s="9" t="inlineStr">
        <is>
          <t>missing_or_wrong_products</t>
        </is>
      </c>
      <c r="J151" s="9" t="inlineStr"/>
      <c r="K151" s="9" t="inlineStr">
        <is>
          <t>no</t>
        </is>
      </c>
      <c r="L151" s="9" t="inlineStr">
        <is>
          <t>no</t>
        </is>
      </c>
      <c r="M151" s="9" t="inlineStr">
        <is>
          <t>medium</t>
        </is>
      </c>
      <c r="N151" s="9" t="inlineStr">
        <is>
          <t>no</t>
        </is>
      </c>
      <c r="O151" s="9" t="inlineStr">
        <is>
          <t>multiple</t>
        </is>
      </c>
      <c r="P151" s="9" t="inlineStr"/>
      <c r="Q151" s="9" t="n">
        <v>0</v>
      </c>
      <c r="R151" s="59" t="inlineStr">
        <is>
          <t>they send little dibbis with product for salon, which is not enough even for a slim girl</t>
        </is>
      </c>
      <c r="S151" s="9" t="inlineStr">
        <is>
          <t>product_fit</t>
        </is>
      </c>
      <c r="T151" s="9" t="inlineStr">
        <is>
          <t>product_fit</t>
        </is>
      </c>
      <c r="U151" s="59" t="inlineStr"/>
    </row>
    <row r="152">
      <c r="A152" s="9" t="n">
        <v>151</v>
      </c>
      <c r="B152" s="58" t="n">
        <v>46287</v>
      </c>
      <c r="C152" s="9" t="str">
        <f>TEXT(B152,"yyyy-mm")</f>
        <v>2026-09</v>
      </c>
      <c r="D152" s="9" t="n">
        <v>4</v>
      </c>
      <c r="E152" s="9" t="inlineStr">
        <is>
          <t>18.8.0</t>
        </is>
      </c>
      <c r="F152" s="59" t="inlineStr">
        <is>
          <t>Delay in time</t>
        </is>
      </c>
      <c r="G152" s="59" t="inlineStr">
        <is>
          <t>Last time your service was much better . Today service got delayed by 1.5 hours . U need to improve your timings</t>
        </is>
      </c>
      <c r="H152" s="9" t="inlineStr">
        <is>
          <t>delay</t>
        </is>
      </c>
      <c r="I152" s="9" t="inlineStr">
        <is>
          <t>late_arrival</t>
        </is>
      </c>
      <c r="J152" s="9" t="inlineStr"/>
      <c r="K152" s="9" t="inlineStr">
        <is>
          <t>no</t>
        </is>
      </c>
      <c r="L152" s="9" t="inlineStr">
        <is>
          <t>no</t>
        </is>
      </c>
      <c r="M152" s="9" t="inlineStr">
        <is>
          <t>medium</t>
        </is>
      </c>
      <c r="N152" s="9" t="inlineStr">
        <is>
          <t>no</t>
        </is>
      </c>
      <c r="O152" s="9" t="inlineStr">
        <is>
          <t>unknown</t>
        </is>
      </c>
      <c r="P152" s="9" t="inlineStr"/>
      <c r="Q152" s="9" t="n">
        <v>0</v>
      </c>
      <c r="R152" s="59" t="inlineStr">
        <is>
          <t>Today service got delayed by 1.5 hours . U need to improve your timings</t>
        </is>
      </c>
      <c r="S152" s="9" t="inlineStr">
        <is>
          <t>delay</t>
        </is>
      </c>
      <c r="T152" s="9" t="inlineStr">
        <is>
          <t>delay</t>
        </is>
      </c>
      <c r="U152" s="59" t="inlineStr"/>
    </row>
    <row r="153">
      <c r="A153" s="9" t="n">
        <v>152</v>
      </c>
      <c r="B153" s="58" t="n">
        <v>46287</v>
      </c>
      <c r="C153" s="9" t="str">
        <f>TEXT(B153,"yyyy-mm")</f>
        <v>2026-09</v>
      </c>
      <c r="D153" s="9" t="n">
        <v>1</v>
      </c>
      <c r="E153" s="9" t="inlineStr">
        <is>
          <t>18.8.0</t>
        </is>
      </c>
      <c r="F153" s="59" t="inlineStr">
        <is>
          <t>Untrained beauticians</t>
        </is>
      </c>
      <c r="G153" s="59" t="inlineStr">
        <is>
          <t>They are all untrained. Tried several times. One knocked off a good part of my eyebrow I was hoping that’s a basic skill but guess not. However the customer service was very prompt. I wouldn’t recommend it</t>
        </is>
      </c>
      <c r="H153" s="9" t="inlineStr">
        <is>
          <t>service_quality</t>
        </is>
      </c>
      <c r="I153" s="9" t="inlineStr">
        <is>
          <t>poor_skill</t>
        </is>
      </c>
      <c r="J153" s="9" t="inlineStr"/>
      <c r="K153" s="9" t="inlineStr">
        <is>
          <t>yes</t>
        </is>
      </c>
      <c r="L153" s="9" t="inlineStr">
        <is>
          <t>no</t>
        </is>
      </c>
      <c r="M153" s="9" t="inlineStr">
        <is>
          <t>medium</t>
        </is>
      </c>
      <c r="N153" s="9" t="inlineStr">
        <is>
          <t>no</t>
        </is>
      </c>
      <c r="O153" s="9" t="inlineStr">
        <is>
          <t>threading_bleach</t>
        </is>
      </c>
      <c r="P153" s="9" t="inlineStr"/>
      <c r="Q153" s="9" t="n">
        <v>0</v>
      </c>
      <c r="R153" s="59" t="inlineStr">
        <is>
          <t>They are all untrained. Tried several times. One knocked off a good part of my eyebrow</t>
        </is>
      </c>
      <c r="S153" s="9" t="inlineStr">
        <is>
          <t>service_quality</t>
        </is>
      </c>
      <c r="T153" s="9" t="inlineStr">
        <is>
          <t>service_quality</t>
        </is>
      </c>
      <c r="U153" s="59" t="inlineStr"/>
    </row>
    <row r="154">
      <c r="A154" s="9" t="n">
        <v>153</v>
      </c>
      <c r="B154" s="58" t="n">
        <v>46287</v>
      </c>
      <c r="C154" s="9" t="str">
        <f>TEXT(B154,"yyyy-mm")</f>
        <v>2026-09</v>
      </c>
      <c r="D154" s="9" t="n">
        <v>1</v>
      </c>
      <c r="E154" s="9" t="inlineStr">
        <is>
          <t>18.8.0</t>
        </is>
      </c>
      <c r="F154" s="59" t="inlineStr">
        <is>
          <t>Dissatisfied</t>
        </is>
      </c>
      <c r="G154" s="59" t="inlineStr">
        <is>
          <t>They charge you more by cash on delivery not the charges shown in the app …</t>
        </is>
      </c>
      <c r="H154" s="9" t="inlineStr">
        <is>
          <t>price_clarity</t>
        </is>
      </c>
      <c r="I154" s="9" t="inlineStr">
        <is>
          <t>price_mismatch</t>
        </is>
      </c>
      <c r="J154" s="9" t="inlineStr"/>
      <c r="K154" s="9" t="inlineStr">
        <is>
          <t>no</t>
        </is>
      </c>
      <c r="L154" s="9" t="inlineStr">
        <is>
          <t>no</t>
        </is>
      </c>
      <c r="M154" s="9" t="inlineStr">
        <is>
          <t>medium</t>
        </is>
      </c>
      <c r="N154" s="9" t="inlineStr">
        <is>
          <t>no</t>
        </is>
      </c>
      <c r="O154" s="9" t="inlineStr">
        <is>
          <t>unknown</t>
        </is>
      </c>
      <c r="P154" s="9" t="inlineStr"/>
      <c r="Q154" s="9" t="n">
        <v>0</v>
      </c>
      <c r="R154" s="59" t="inlineStr">
        <is>
          <t>They charge you more by cash on delivery not the charges shown in the app</t>
        </is>
      </c>
      <c r="S154" s="9" t="inlineStr">
        <is>
          <t>price_clarity</t>
        </is>
      </c>
      <c r="T154" s="9" t="inlineStr">
        <is>
          <t>price_clarity</t>
        </is>
      </c>
      <c r="U154" s="59" t="inlineStr"/>
    </row>
    <row r="155">
      <c r="A155" s="9" t="n">
        <v>154</v>
      </c>
      <c r="B155" s="58" t="n">
        <v>46286</v>
      </c>
      <c r="C155" s="9" t="str">
        <f>TEXT(B155,"yyyy-mm")</f>
        <v>2026-09</v>
      </c>
      <c r="D155" s="9" t="n">
        <v>1</v>
      </c>
      <c r="E155" s="9" t="inlineStr">
        <is>
          <t>18.8.0</t>
        </is>
      </c>
      <c r="F155" s="59" t="inlineStr">
        <is>
          <t>Fraud</t>
        </is>
      </c>
      <c r="G155" s="59" t="inlineStr">
        <is>
          <t>Ye log apne aap session ko expire 
Kar dete h us session ke paise bhi vapis nahi karte or koe contect nahi karte mere sath aisa huaa h, m pichle month se enke customer care me bat karne ki koshish kar rahi hu. Par ho nahi pa raha. Ye back call nahi karte</t>
        </is>
      </c>
      <c r="H155" s="9" t="inlineStr">
        <is>
          <t>payment_refund</t>
        </is>
      </c>
      <c r="I155" s="9" t="inlineStr">
        <is>
          <t>refund_denied</t>
        </is>
      </c>
      <c r="J155" s="9" t="inlineStr">
        <is>
          <t>support, price_clarity</t>
        </is>
      </c>
      <c r="K155" s="9" t="inlineStr">
        <is>
          <t>yes</t>
        </is>
      </c>
      <c r="L155" s="9" t="inlineStr">
        <is>
          <t>yes</t>
        </is>
      </c>
      <c r="M155" s="9" t="inlineStr">
        <is>
          <t>high</t>
        </is>
      </c>
      <c r="N155" s="9" t="inlineStr">
        <is>
          <t>no</t>
        </is>
      </c>
      <c r="O155" s="9" t="inlineStr">
        <is>
          <t>unknown</t>
        </is>
      </c>
      <c r="P155" s="9" t="inlineStr"/>
      <c r="Q155" s="9" t="n">
        <v>0</v>
      </c>
      <c r="R155" s="59" t="inlineStr">
        <is>
          <t>Ye log apne aap session ko expire Kar dete h us session ke paise bhi vapis nahi karte</t>
        </is>
      </c>
      <c r="S155" s="9" t="inlineStr">
        <is>
          <t>payment_refund</t>
        </is>
      </c>
      <c r="T155" s="9" t="inlineStr">
        <is>
          <t>payment_refund</t>
        </is>
      </c>
      <c r="U155" s="59" t="inlineStr"/>
    </row>
    <row r="156">
      <c r="A156" s="9" t="n">
        <v>155</v>
      </c>
      <c r="B156" s="58" t="n">
        <v>46286</v>
      </c>
      <c r="C156" s="9" t="str">
        <f>TEXT(B156,"yyyy-mm")</f>
        <v>2026-09</v>
      </c>
      <c r="D156" s="9" t="n">
        <v>5</v>
      </c>
      <c r="E156" s="9" t="inlineStr">
        <is>
          <t>18.8.0</t>
        </is>
      </c>
      <c r="F156" s="59" t="inlineStr">
        <is>
          <t>About [name]</t>
        </is>
      </c>
      <c r="G156" s="59" t="inlineStr">
        <is>
          <t>Nice work by [name].</t>
        </is>
      </c>
      <c r="H156" s="9" t="inlineStr">
        <is>
          <t>praise</t>
        </is>
      </c>
      <c r="I156" s="9" t="inlineStr">
        <is>
          <t>praise_professional</t>
        </is>
      </c>
      <c r="J156" s="9" t="inlineStr"/>
      <c r="K156" s="9" t="inlineStr">
        <is>
          <t>no</t>
        </is>
      </c>
      <c r="L156" s="9" t="inlineStr">
        <is>
          <t>no</t>
        </is>
      </c>
      <c r="M156" s="9" t="inlineStr">
        <is>
          <t>none</t>
        </is>
      </c>
      <c r="N156" s="9" t="inlineStr">
        <is>
          <t>no</t>
        </is>
      </c>
      <c r="O156" s="9" t="inlineStr">
        <is>
          <t>unknown</t>
        </is>
      </c>
      <c r="P156" s="9" t="inlineStr"/>
      <c r="Q156" s="9" t="n">
        <v>0</v>
      </c>
      <c r="R156" s="59" t="inlineStr">
        <is>
          <t>Nice work by [name].</t>
        </is>
      </c>
      <c r="S156" s="9" t="inlineStr">
        <is>
          <t>praise</t>
        </is>
      </c>
      <c r="T156" s="9" t="inlineStr">
        <is>
          <t>praise</t>
        </is>
      </c>
      <c r="U156" s="59" t="inlineStr"/>
    </row>
    <row r="157">
      <c r="A157" s="9" t="n">
        <v>156</v>
      </c>
      <c r="B157" s="58" t="n">
        <v>46286</v>
      </c>
      <c r="C157" s="9" t="str">
        <f>TEXT(B157,"yyyy-mm")</f>
        <v>2026-09</v>
      </c>
      <c r="D157" s="9" t="n">
        <v>1</v>
      </c>
      <c r="E157" s="9" t="inlineStr">
        <is>
          <t>18.8.0</t>
        </is>
      </c>
      <c r="F157" s="59" t="inlineStr">
        <is>
          <t>Bad service</t>
        </is>
      </c>
      <c r="G157" s="59" t="inlineStr">
        <is>
          <t>Very bad aap they keep postponing the appointment very bad service disappointed.</t>
        </is>
      </c>
      <c r="H157" s="9" t="inlineStr">
        <is>
          <t>partner_cancellation</t>
        </is>
      </c>
      <c r="I157" s="9" t="inlineStr">
        <is>
          <t>repeated_reschedule</t>
        </is>
      </c>
      <c r="J157" s="9" t="inlineStr"/>
      <c r="K157" s="9" t="inlineStr">
        <is>
          <t>no</t>
        </is>
      </c>
      <c r="L157" s="9" t="inlineStr">
        <is>
          <t>no</t>
        </is>
      </c>
      <c r="M157" s="9" t="inlineStr">
        <is>
          <t>medium</t>
        </is>
      </c>
      <c r="N157" s="9" t="inlineStr">
        <is>
          <t>no</t>
        </is>
      </c>
      <c r="O157" s="9" t="inlineStr">
        <is>
          <t>unknown</t>
        </is>
      </c>
      <c r="P157" s="9" t="inlineStr"/>
      <c r="Q157" s="9" t="n">
        <v>0</v>
      </c>
      <c r="R157" s="59" t="inlineStr">
        <is>
          <t>Very bad aap they keep postponing the appointment very bad service disappointed.</t>
        </is>
      </c>
      <c r="S157" s="9" t="inlineStr">
        <is>
          <t>partner_cancellation</t>
        </is>
      </c>
      <c r="T157" s="9" t="inlineStr">
        <is>
          <t>partner_cancellation</t>
        </is>
      </c>
      <c r="U157" s="59" t="inlineStr"/>
    </row>
    <row r="158">
      <c r="A158" s="9" t="n">
        <v>157</v>
      </c>
      <c r="B158" s="58" t="n">
        <v>46286</v>
      </c>
      <c r="C158" s="9" t="str">
        <f>TEXT(B158,"yyyy-mm")</f>
        <v>2026-09</v>
      </c>
      <c r="D158" s="9" t="n">
        <v>1</v>
      </c>
      <c r="E158" s="9" t="inlineStr">
        <is>
          <t>18.8.0</t>
        </is>
      </c>
      <c r="F158" s="59" t="inlineStr">
        <is>
          <t>Scammer App</t>
        </is>
      </c>
      <c r="G158" s="59" t="inlineStr">
        <is>
          <t>They advertise FREE PEDICURE to get the app downloaded. And the offer goes live and is out of stock in 10 seconds. Ridiculous.</t>
        </is>
      </c>
      <c r="H158" s="9" t="inlineStr">
        <is>
          <t>price_clarity</t>
        </is>
      </c>
      <c r="I158" s="9" t="inlineStr">
        <is>
          <t>offer_not_honoured</t>
        </is>
      </c>
      <c r="J158" s="9" t="inlineStr"/>
      <c r="K158" s="9" t="inlineStr">
        <is>
          <t>no</t>
        </is>
      </c>
      <c r="L158" s="9" t="inlineStr">
        <is>
          <t>no</t>
        </is>
      </c>
      <c r="M158" s="9" t="inlineStr">
        <is>
          <t>low</t>
        </is>
      </c>
      <c r="N158" s="9" t="inlineStr">
        <is>
          <t>no</t>
        </is>
      </c>
      <c r="O158" s="9" t="inlineStr">
        <is>
          <t>mani_pedi</t>
        </is>
      </c>
      <c r="P158" s="9" t="inlineStr"/>
      <c r="Q158" s="9" t="n">
        <v>0</v>
      </c>
      <c r="R158" s="59" t="inlineStr">
        <is>
          <t>They advertise FREE PEDICURE to get the app downloaded. And the offer goes live and is out of stock in 10 seconds.</t>
        </is>
      </c>
      <c r="S158" s="9" t="inlineStr">
        <is>
          <t>price_clarity</t>
        </is>
      </c>
      <c r="T158" s="9" t="inlineStr">
        <is>
          <t>price_clarity</t>
        </is>
      </c>
      <c r="U158" s="59" t="inlineStr"/>
    </row>
    <row r="159">
      <c r="A159" s="9" t="n">
        <v>158</v>
      </c>
      <c r="B159" s="58" t="n">
        <v>46286</v>
      </c>
      <c r="C159" s="9" t="str">
        <f>TEXT(B159,"yyyy-mm")</f>
        <v>2026-09</v>
      </c>
      <c r="D159" s="9" t="n">
        <v>1</v>
      </c>
      <c r="E159" s="9" t="inlineStr">
        <is>
          <t>18.8.0</t>
        </is>
      </c>
      <c r="F159" s="59" t="inlineStr">
        <is>
          <t>Free services are lies</t>
        </is>
      </c>
      <c r="G159" s="59" t="inlineStr">
        <is>
          <t>Last year also I have tried, and just now I have tried to get free pedicure service in 10 seconds how it can be all booked. So stop lying, and don’t brag about it.</t>
        </is>
      </c>
      <c r="H159" s="9" t="inlineStr">
        <is>
          <t>price_clarity</t>
        </is>
      </c>
      <c r="I159" s="9" t="inlineStr">
        <is>
          <t>offer_not_honoured</t>
        </is>
      </c>
      <c r="J159" s="9" t="inlineStr"/>
      <c r="K159" s="9" t="inlineStr">
        <is>
          <t>no</t>
        </is>
      </c>
      <c r="L159" s="9" t="inlineStr">
        <is>
          <t>no</t>
        </is>
      </c>
      <c r="M159" s="9" t="inlineStr">
        <is>
          <t>low</t>
        </is>
      </c>
      <c r="N159" s="9" t="inlineStr">
        <is>
          <t>no</t>
        </is>
      </c>
      <c r="O159" s="9" t="inlineStr">
        <is>
          <t>mani_pedi</t>
        </is>
      </c>
      <c r="P159" s="9" t="inlineStr"/>
      <c r="Q159" s="9" t="n">
        <v>0</v>
      </c>
      <c r="R159" s="59" t="inlineStr">
        <is>
          <t>just now I have tried to get free pedicure service in 10 seconds how it can be all booked</t>
        </is>
      </c>
      <c r="S159" s="9" t="inlineStr">
        <is>
          <t>price_clarity</t>
        </is>
      </c>
      <c r="T159" s="9" t="inlineStr">
        <is>
          <t>price_clarity</t>
        </is>
      </c>
      <c r="U159" s="59" t="inlineStr"/>
    </row>
    <row r="160">
      <c r="A160" s="9" t="n">
        <v>159</v>
      </c>
      <c r="B160" s="58" t="n">
        <v>46286</v>
      </c>
      <c r="C160" s="9" t="str">
        <f>TEXT(B160,"yyyy-mm")</f>
        <v>2026-09</v>
      </c>
      <c r="D160" s="9" t="n">
        <v>3</v>
      </c>
      <c r="E160" s="9" t="inlineStr">
        <is>
          <t>18.8.0</t>
        </is>
      </c>
      <c r="F160" s="59" t="inlineStr">
        <is>
          <t>Sustainability</t>
        </is>
      </c>
      <c r="G160" s="59" t="inlineStr">
        <is>
          <t>I wish the company would become more sustainable in its approach, particularly with regard to disposable kit. They should be eco-friendly and biodegradable.</t>
        </is>
      </c>
      <c r="H160" s="9" t="inlineStr">
        <is>
          <t>other</t>
        </is>
      </c>
      <c r="I160" s="9" t="inlineStr">
        <is>
          <t>other_issue</t>
        </is>
      </c>
      <c r="J160" s="9" t="inlineStr">
        <is>
          <t>product_fit</t>
        </is>
      </c>
      <c r="K160" s="9" t="inlineStr">
        <is>
          <t>no</t>
        </is>
      </c>
      <c r="L160" s="9" t="inlineStr">
        <is>
          <t>no</t>
        </is>
      </c>
      <c r="M160" s="9" t="inlineStr">
        <is>
          <t>low</t>
        </is>
      </c>
      <c r="N160" s="9" t="inlineStr">
        <is>
          <t>no</t>
        </is>
      </c>
      <c r="O160" s="9" t="inlineStr">
        <is>
          <t>unknown</t>
        </is>
      </c>
      <c r="P160" s="9" t="inlineStr"/>
      <c r="Q160" s="9" t="n">
        <v>0</v>
      </c>
      <c r="R160" s="59" t="inlineStr">
        <is>
          <t>I wish the company would become more sustainable in its approach, particularly with regard to disposable kit.</t>
        </is>
      </c>
      <c r="S160" s="9" t="inlineStr">
        <is>
          <t>other</t>
        </is>
      </c>
      <c r="T160" s="9" t="inlineStr">
        <is>
          <t>other</t>
        </is>
      </c>
      <c r="U160" s="59" t="inlineStr"/>
    </row>
    <row r="161">
      <c r="A161" s="9" t="n">
        <v>160</v>
      </c>
      <c r="B161" s="58" t="n">
        <v>46285</v>
      </c>
      <c r="C161" s="9" t="str">
        <f>TEXT(B161,"yyyy-mm")</f>
        <v>2026-09</v>
      </c>
      <c r="D161" s="9" t="n">
        <v>5</v>
      </c>
      <c r="E161" s="9" t="inlineStr">
        <is>
          <t>18.8.0</t>
        </is>
      </c>
      <c r="F161" s="59" t="inlineStr">
        <is>
          <t>Great experience</t>
        </is>
      </c>
      <c r="G161" s="59" t="inlineStr">
        <is>
          <t>Super amazing experience had a great session and executive was warm and very professional</t>
        </is>
      </c>
      <c r="H161" s="9" t="inlineStr">
        <is>
          <t>praise</t>
        </is>
      </c>
      <c r="I161" s="9" t="inlineStr">
        <is>
          <t>praise_professional</t>
        </is>
      </c>
      <c r="J161" s="9" t="inlineStr"/>
      <c r="K161" s="9" t="inlineStr">
        <is>
          <t>no</t>
        </is>
      </c>
      <c r="L161" s="9" t="inlineStr">
        <is>
          <t>no</t>
        </is>
      </c>
      <c r="M161" s="9" t="inlineStr">
        <is>
          <t>none</t>
        </is>
      </c>
      <c r="N161" s="9" t="inlineStr">
        <is>
          <t>no</t>
        </is>
      </c>
      <c r="O161" s="9" t="inlineStr">
        <is>
          <t>unknown</t>
        </is>
      </c>
      <c r="P161" s="9" t="inlineStr"/>
      <c r="Q161" s="9" t="n">
        <v>0</v>
      </c>
      <c r="R161" s="59" t="inlineStr">
        <is>
          <t>Super amazing experience had a great session and executive was warm and very professional</t>
        </is>
      </c>
      <c r="S161" s="9" t="inlineStr">
        <is>
          <t>praise</t>
        </is>
      </c>
      <c r="T161" s="9" t="inlineStr">
        <is>
          <t>praise</t>
        </is>
      </c>
      <c r="U161" s="59" t="inlineStr"/>
    </row>
    <row r="162">
      <c r="A162" s="9" t="n">
        <v>161</v>
      </c>
      <c r="B162" s="58" t="n">
        <v>46285</v>
      </c>
      <c r="C162" s="9" t="str">
        <f>TEXT(B162,"yyyy-mm")</f>
        <v>2026-09</v>
      </c>
      <c r="D162" s="9" t="n">
        <v>1</v>
      </c>
      <c r="E162" s="9" t="inlineStr">
        <is>
          <t>18.8.0</t>
        </is>
      </c>
      <c r="F162" s="59" t="inlineStr">
        <is>
          <t>No responsibility</t>
        </is>
      </c>
      <c r="G162" s="59" t="inlineStr">
        <is>
          <t>I have added free pedicure also and it was shown in my service. Later it was removed</t>
        </is>
      </c>
      <c r="H162" s="9" t="inlineStr">
        <is>
          <t>price_clarity</t>
        </is>
      </c>
      <c r="I162" s="9" t="inlineStr">
        <is>
          <t>offer_not_honoured</t>
        </is>
      </c>
      <c r="J162" s="9" t="inlineStr"/>
      <c r="K162" s="9" t="inlineStr">
        <is>
          <t>no</t>
        </is>
      </c>
      <c r="L162" s="9" t="inlineStr">
        <is>
          <t>no</t>
        </is>
      </c>
      <c r="M162" s="9" t="inlineStr">
        <is>
          <t>low</t>
        </is>
      </c>
      <c r="N162" s="9" t="inlineStr">
        <is>
          <t>no</t>
        </is>
      </c>
      <c r="O162" s="9" t="inlineStr">
        <is>
          <t>mani_pedi</t>
        </is>
      </c>
      <c r="P162" s="9" t="inlineStr"/>
      <c r="Q162" s="9" t="n">
        <v>0</v>
      </c>
      <c r="R162" s="59" t="inlineStr">
        <is>
          <t>I have added free pedicure also and it was shown in my service. Later it was removed</t>
        </is>
      </c>
      <c r="S162" s="9" t="inlineStr">
        <is>
          <t>price_clarity</t>
        </is>
      </c>
      <c r="T162" s="9" t="inlineStr">
        <is>
          <t>price_clarity</t>
        </is>
      </c>
      <c r="U162" s="59" t="inlineStr"/>
    </row>
    <row r="163">
      <c r="A163" s="9" t="n">
        <v>162</v>
      </c>
      <c r="B163" s="58" t="n">
        <v>46285</v>
      </c>
      <c r="C163" s="9" t="str">
        <f>TEXT(B163,"yyyy-mm")</f>
        <v>2026-09</v>
      </c>
      <c r="D163" s="9" t="n">
        <v>1</v>
      </c>
      <c r="E163" s="9" t="inlineStr">
        <is>
          <t>18.8.0</t>
        </is>
      </c>
      <c r="F163" s="59" t="inlineStr">
        <is>
          <t>Bad products</t>
        </is>
      </c>
      <c r="G163" s="59" t="inlineStr">
        <is>
          <t>Absolutely worst quality products that can legit harm the skin. Please upgrade the quality or you ll lost customers. Really really bad honey wax that has no stickiness. The wax stips are so plasticky that nothing gets removed using them. First time used this app, and so disappointed</t>
        </is>
      </c>
      <c r="H163" s="9" t="inlineStr">
        <is>
          <t>product_fit</t>
        </is>
      </c>
      <c r="I163" s="9" t="inlineStr">
        <is>
          <t>product_quality</t>
        </is>
      </c>
      <c r="J163" s="9" t="inlineStr"/>
      <c r="K163" s="9" t="inlineStr">
        <is>
          <t>no</t>
        </is>
      </c>
      <c r="L163" s="9" t="inlineStr">
        <is>
          <t>no</t>
        </is>
      </c>
      <c r="M163" s="9" t="inlineStr">
        <is>
          <t>medium</t>
        </is>
      </c>
      <c r="N163" s="9" t="inlineStr">
        <is>
          <t>no</t>
        </is>
      </c>
      <c r="O163" s="9" t="inlineStr">
        <is>
          <t>waxing</t>
        </is>
      </c>
      <c r="P163" s="9" t="inlineStr"/>
      <c r="Q163" s="9" t="n">
        <v>0</v>
      </c>
      <c r="R163" s="59" t="inlineStr">
        <is>
          <t>Really really bad honey wax that has no stickiness. The wax stips are so plasticky that nothing gets removed using them.</t>
        </is>
      </c>
      <c r="S163" s="9" t="inlineStr">
        <is>
          <t>product_fit</t>
        </is>
      </c>
      <c r="T163" s="9" t="inlineStr">
        <is>
          <t>product_fit</t>
        </is>
      </c>
      <c r="U163" s="59" t="inlineStr"/>
    </row>
    <row r="164">
      <c r="A164" s="9" t="n">
        <v>163</v>
      </c>
      <c r="B164" s="58" t="n">
        <v>46285</v>
      </c>
      <c r="C164" s="9" t="str">
        <f>TEXT(B164,"yyyy-mm")</f>
        <v>2026-09</v>
      </c>
      <c r="D164" s="9" t="n">
        <v>5</v>
      </c>
      <c r="E164" s="9" t="inlineStr">
        <is>
          <t>18.8.0</t>
        </is>
      </c>
      <c r="F164" s="59" t="inlineStr">
        <is>
          <t>[name]</t>
        </is>
      </c>
      <c r="G164" s="59" t="inlineStr">
        <is>
          <t>Good work</t>
        </is>
      </c>
      <c r="H164" s="9" t="inlineStr">
        <is>
          <t>praise</t>
        </is>
      </c>
      <c r="I164" s="9" t="inlineStr">
        <is>
          <t>praise_professional</t>
        </is>
      </c>
      <c r="J164" s="9" t="inlineStr"/>
      <c r="K164" s="9" t="inlineStr">
        <is>
          <t>no</t>
        </is>
      </c>
      <c r="L164" s="9" t="inlineStr">
        <is>
          <t>no</t>
        </is>
      </c>
      <c r="M164" s="9" t="inlineStr">
        <is>
          <t>none</t>
        </is>
      </c>
      <c r="N164" s="9" t="inlineStr">
        <is>
          <t>no</t>
        </is>
      </c>
      <c r="O164" s="9" t="inlineStr">
        <is>
          <t>unknown</t>
        </is>
      </c>
      <c r="P164" s="9" t="inlineStr"/>
      <c r="Q164" s="9" t="n">
        <v>0</v>
      </c>
      <c r="R164" s="59" t="inlineStr">
        <is>
          <t>Good work</t>
        </is>
      </c>
      <c r="S164" s="9" t="inlineStr">
        <is>
          <t>praise</t>
        </is>
      </c>
      <c r="T164" s="9" t="inlineStr">
        <is>
          <t>praise</t>
        </is>
      </c>
      <c r="U164" s="59" t="inlineStr"/>
    </row>
    <row r="165">
      <c r="A165" s="9" t="n">
        <v>164</v>
      </c>
      <c r="B165" s="58" t="n">
        <v>46285</v>
      </c>
      <c r="C165" s="9" t="str">
        <f>TEXT(B165,"yyyy-mm")</f>
        <v>2026-09</v>
      </c>
      <c r="D165" s="9" t="n">
        <v>5</v>
      </c>
      <c r="E165" s="9" t="inlineStr">
        <is>
          <t>18.8.0</t>
        </is>
      </c>
      <c r="F165" s="59" t="inlineStr">
        <is>
          <t>Nice</t>
        </is>
      </c>
      <c r="G165" s="59" t="inlineStr">
        <is>
          <t>Owsome</t>
        </is>
      </c>
      <c r="H165" s="9" t="inlineStr">
        <is>
          <t>praise</t>
        </is>
      </c>
      <c r="I165" s="9" t="inlineStr">
        <is>
          <t>praise_service</t>
        </is>
      </c>
      <c r="J165" s="9" t="inlineStr"/>
      <c r="K165" s="9" t="inlineStr">
        <is>
          <t>no</t>
        </is>
      </c>
      <c r="L165" s="9" t="inlineStr">
        <is>
          <t>no</t>
        </is>
      </c>
      <c r="M165" s="9" t="inlineStr">
        <is>
          <t>none</t>
        </is>
      </c>
      <c r="N165" s="9" t="inlineStr">
        <is>
          <t>no</t>
        </is>
      </c>
      <c r="O165" s="9" t="inlineStr">
        <is>
          <t>unknown</t>
        </is>
      </c>
      <c r="P165" s="9" t="inlineStr"/>
      <c r="Q165" s="9" t="n">
        <v>0</v>
      </c>
      <c r="R165" s="59" t="inlineStr">
        <is>
          <t>Owsome</t>
        </is>
      </c>
      <c r="S165" s="9" t="inlineStr">
        <is>
          <t>praise</t>
        </is>
      </c>
      <c r="T165" s="9" t="inlineStr">
        <is>
          <t>praise</t>
        </is>
      </c>
      <c r="U165" s="59" t="inlineStr"/>
    </row>
    <row r="166">
      <c r="A166" s="9" t="n">
        <v>165</v>
      </c>
      <c r="B166" s="58" t="n">
        <v>46285</v>
      </c>
      <c r="C166" s="9" t="str">
        <f>TEXT(B166,"yyyy-mm")</f>
        <v>2026-09</v>
      </c>
      <c r="D166" s="9" t="n">
        <v>5</v>
      </c>
      <c r="E166" s="9" t="inlineStr">
        <is>
          <t>18.8.0</t>
        </is>
      </c>
      <c r="F166" s="59" t="inlineStr">
        <is>
          <t>Hydra faciql</t>
        </is>
      </c>
      <c r="G166" s="59" t="inlineStr">
        <is>
          <t>[name] is amazing at her work. I loved her work and she is very kind and humble.</t>
        </is>
      </c>
      <c r="H166" s="9" t="inlineStr">
        <is>
          <t>praise</t>
        </is>
      </c>
      <c r="I166" s="9" t="inlineStr">
        <is>
          <t>praise_professional</t>
        </is>
      </c>
      <c r="J166" s="9" t="inlineStr"/>
      <c r="K166" s="9" t="inlineStr">
        <is>
          <t>no</t>
        </is>
      </c>
      <c r="L166" s="9" t="inlineStr">
        <is>
          <t>no</t>
        </is>
      </c>
      <c r="M166" s="9" t="inlineStr">
        <is>
          <t>none</t>
        </is>
      </c>
      <c r="N166" s="9" t="inlineStr">
        <is>
          <t>no</t>
        </is>
      </c>
      <c r="O166" s="9" t="inlineStr">
        <is>
          <t>facial_cleanup</t>
        </is>
      </c>
      <c r="P166" s="9" t="inlineStr"/>
      <c r="Q166" s="9" t="n">
        <v>0</v>
      </c>
      <c r="R166" s="59" t="inlineStr">
        <is>
          <t>[name] is amazing at her work. I loved her work and she is very kind and humble.</t>
        </is>
      </c>
      <c r="S166" s="9" t="inlineStr">
        <is>
          <t>praise</t>
        </is>
      </c>
      <c r="T166" s="9" t="inlineStr">
        <is>
          <t>praise</t>
        </is>
      </c>
      <c r="U166" s="59" t="inlineStr"/>
    </row>
    <row r="167">
      <c r="A167" s="9" t="n">
        <v>166</v>
      </c>
      <c r="B167" s="58" t="n">
        <v>46285</v>
      </c>
      <c r="C167" s="9" t="str">
        <f>TEXT(B167,"yyyy-mm")</f>
        <v>2026-09</v>
      </c>
      <c r="D167" s="9" t="n">
        <v>1</v>
      </c>
      <c r="E167" s="9" t="inlineStr">
        <is>
          <t>18.8.0</t>
        </is>
      </c>
      <c r="F167" s="59" t="inlineStr">
        <is>
          <t>Service</t>
        </is>
      </c>
      <c r="G167" s="59" t="inlineStr">
        <is>
          <t>I added this app via referal code in which mani pedi was free, then screen came mani pedi will start live after 50 mins when it is started written it is sold out - Are customers dumb? Worst app I have ever seen, I will try my best no one will install.</t>
        </is>
      </c>
      <c r="H167" s="9" t="inlineStr">
        <is>
          <t>price_clarity</t>
        </is>
      </c>
      <c r="I167" s="9" t="inlineStr">
        <is>
          <t>offer_not_honoured</t>
        </is>
      </c>
      <c r="J167" s="9" t="inlineStr"/>
      <c r="K167" s="9" t="inlineStr">
        <is>
          <t>no</t>
        </is>
      </c>
      <c r="L167" s="9" t="inlineStr">
        <is>
          <t>no</t>
        </is>
      </c>
      <c r="M167" s="9" t="inlineStr">
        <is>
          <t>low</t>
        </is>
      </c>
      <c r="N167" s="9" t="inlineStr">
        <is>
          <t>no</t>
        </is>
      </c>
      <c r="O167" s="9" t="inlineStr">
        <is>
          <t>mani_pedi</t>
        </is>
      </c>
      <c r="P167" s="9" t="inlineStr"/>
      <c r="Q167" s="9" t="n">
        <v>0</v>
      </c>
      <c r="R167" s="59" t="inlineStr">
        <is>
          <t>mani pedi will start live after 50 mins when it is started written it is sold out</t>
        </is>
      </c>
      <c r="S167" s="9" t="inlineStr">
        <is>
          <t>price_clarity</t>
        </is>
      </c>
      <c r="T167" s="9" t="inlineStr">
        <is>
          <t>price_clarity</t>
        </is>
      </c>
      <c r="U167" s="59" t="inlineStr"/>
    </row>
    <row r="168">
      <c r="A168" s="9" t="n">
        <v>167</v>
      </c>
      <c r="B168" s="58" t="n">
        <v>46285</v>
      </c>
      <c r="C168" s="9" t="str">
        <f>TEXT(B168,"yyyy-mm")</f>
        <v>2026-09</v>
      </c>
      <c r="D168" s="9" t="n">
        <v>3</v>
      </c>
      <c r="E168" s="9" t="inlineStr">
        <is>
          <t>18.8.0</t>
        </is>
      </c>
      <c r="F168" s="59" t="inlineStr">
        <is>
          <t>Good service but their offers are a scam</t>
        </is>
      </c>
      <c r="G168" s="59" t="inlineStr">
        <is>
          <t>Every now and then they put out free service offers and even when slots are not filled the booking does not get completed. Today they have started free pedicure services. I have not found one customer getting these free services and trust me I know many!</t>
        </is>
      </c>
      <c r="H168" s="9" t="inlineStr">
        <is>
          <t>price_clarity</t>
        </is>
      </c>
      <c r="I168" s="9" t="inlineStr">
        <is>
          <t>offer_not_honoured</t>
        </is>
      </c>
      <c r="J168" s="9" t="inlineStr">
        <is>
          <t>app</t>
        </is>
      </c>
      <c r="K168" s="9" t="inlineStr">
        <is>
          <t>no</t>
        </is>
      </c>
      <c r="L168" s="9" t="inlineStr">
        <is>
          <t>no</t>
        </is>
      </c>
      <c r="M168" s="9" t="inlineStr">
        <is>
          <t>low</t>
        </is>
      </c>
      <c r="N168" s="9" t="inlineStr">
        <is>
          <t>no</t>
        </is>
      </c>
      <c r="O168" s="9" t="inlineStr">
        <is>
          <t>mani_pedi</t>
        </is>
      </c>
      <c r="P168" s="9" t="inlineStr"/>
      <c r="Q168" s="9" t="n">
        <v>0</v>
      </c>
      <c r="R168" s="59" t="inlineStr">
        <is>
          <t>Every now and then they put out free service offers and even when slots are not filled the booking does not get completed.</t>
        </is>
      </c>
      <c r="S168" s="9" t="inlineStr">
        <is>
          <t>price_clarity</t>
        </is>
      </c>
      <c r="T168" s="9" t="inlineStr">
        <is>
          <t>price_clarity</t>
        </is>
      </c>
      <c r="U168" s="59" t="inlineStr"/>
    </row>
    <row r="169">
      <c r="A169" s="9" t="n">
        <v>168</v>
      </c>
      <c r="B169" s="58" t="n">
        <v>46284</v>
      </c>
      <c r="C169" s="9" t="str">
        <f>TEXT(B169,"yyyy-mm")</f>
        <v>2026-09</v>
      </c>
      <c r="D169" s="9" t="n">
        <v>1</v>
      </c>
      <c r="E169" s="9" t="inlineStr">
        <is>
          <t>18.8.0</t>
        </is>
      </c>
      <c r="F169" s="59" t="inlineStr">
        <is>
          <t>Lacks transparency</t>
        </is>
      </c>
      <c r="G169" s="59" t="inlineStr">
        <is>
          <t>I had booked a Deep Tissue Healing Massage along with a Head &amp; Face Massage through the app. At the time of booking, the app clearly mentioned that hygiene items including disposables, bed covers and a Luxe Foot Ritual were provided as part of the service.
At no point during the booking process, Prime booking confirmation, or slot confirmation was I informed that I would have to pay separately for these basic amenities. However, just before starting the session, the masseuse informed me that I needed to purchase the foot salt and disposables separately.
This is extremely disappointing and feels like a lack of transparency. If these items are not actually included in the service, the customer should be clearly informed about the additional charges BEFORE confirming and paying for the booking—not at the time of the session.
Customers should be able to make an informed decision about what they are paying for. You need to be upfront and transparent about what is included and what is chargeable separately.
I am deeply disappointed with this experience and would like you to clarify why these charges were not disclosed at the time of booking and what resolution you can offer.</t>
        </is>
      </c>
      <c r="H169" s="9" t="inlineStr">
        <is>
          <t>price_clarity</t>
        </is>
      </c>
      <c r="I169" s="9" t="inlineStr">
        <is>
          <t>hidden_charges</t>
        </is>
      </c>
      <c r="J169" s="9" t="inlineStr">
        <is>
          <t>product_fit</t>
        </is>
      </c>
      <c r="K169" s="9" t="inlineStr">
        <is>
          <t>no</t>
        </is>
      </c>
      <c r="L169" s="9" t="inlineStr">
        <is>
          <t>no</t>
        </is>
      </c>
      <c r="M169" s="9" t="inlineStr">
        <is>
          <t>medium</t>
        </is>
      </c>
      <c r="N169" s="9" t="inlineStr">
        <is>
          <t>no</t>
        </is>
      </c>
      <c r="O169" s="9" t="inlineStr">
        <is>
          <t>massage_spa</t>
        </is>
      </c>
      <c r="P169" s="9" t="inlineStr"/>
      <c r="Q169" s="9" t="n">
        <v>0</v>
      </c>
      <c r="R169" s="59" t="inlineStr">
        <is>
          <t>just before starting the session, the masseuse informed me that I needed to purchase the foot salt and disposables separately.</t>
        </is>
      </c>
      <c r="S169" s="9" t="inlineStr">
        <is>
          <t>price_clarity</t>
        </is>
      </c>
      <c r="T169" s="9" t="inlineStr">
        <is>
          <t>price_clarity</t>
        </is>
      </c>
      <c r="U169" s="59" t="inlineStr"/>
    </row>
    <row r="170">
      <c r="A170" s="9" t="n">
        <v>169</v>
      </c>
      <c r="B170" s="58" t="n">
        <v>46284</v>
      </c>
      <c r="C170" s="9" t="str">
        <f>TEXT(B170,"yyyy-mm")</f>
        <v>2026-09</v>
      </c>
      <c r="D170" s="9" t="n">
        <v>1</v>
      </c>
      <c r="E170" s="9" t="inlineStr">
        <is>
          <t>18.8.0</t>
        </is>
      </c>
      <c r="F170" s="59" t="inlineStr">
        <is>
          <t>Extremely disappointing experience — poor service and even poorer customer support</t>
        </is>
      </c>
      <c r="G170" s="59" t="inlineStr">
        <is>
          <t>My experience with Yes Madam this time was extremely disappointing, and unfortunately, almost every aspect of the service went wrong.
Firstly, the expert arrived late despite me confirming the booking and my complete address about an hour before the scheduled service. She told me that the app was showing a different location. The app had apparently picked up a different location automatically, even though I had entered my complete and correct address in the booking. Instead of acknowledging the issue with the app, the expert repeatedly blamed me for the incorrect location. I had not selected that location myself, so it was extremely frustrating to be made responsible for something I had no control over.
Once she arrived, she decided the sequence of services herself. She started with waxing and then proceeded with the pedicure. By the time the pedicure was completed, she was already in a rush. As a result, one of my booked services — threading — was completely missed.
She also left the garbage packet behind without informing me. When I asked what I was supposed to do with it, she told me that I was supposed to throw it away. This has never been my experience with Yes Madam earlier. Previously, experts either asked me how the waste should be disposed of or disposed of it themselves in the dustbin that was already available in the bathroom.
Another issue was the leftover product. When I asked for the leftover product, I was told that it would only be handed over if I had booked both manicure and pedicure, and otherwise she was not supposed to give it to me. This was confusing because Yes Madam promotes its products as being exclusively for the service and single-use. If the product is genuinely meant for one-time use, I fail to understand why the leftover product was simply taken away instead of being handled transparently.
The most disappointing part was that the expert left without completing the service. She was asking for the OTP while leaving, and I was so confused by the rush that I didn’t immediately realise that threading had been missed. I called her 3–4 times immediately afterwards, but she did not answer. I even contacted my society’s guard room and was told that she had not yet left the society. Despite being there, she did not respond to my calls.
I subsequently contacted customer care and explained the entire situation. I expected them to arrange the missed service, even if it had to be done later that day or the next day. I was flexible about the timing. Instead, I was told that the amount would be credited to my Yes Madam wallet/cash balance, which could only be used when I booked another service worth ₹500 or more.
This was extremely disappointing. I had paid for a service that was not completed, and instead of arranging the pending service or providing an appropriate resolution, I was essentially told to spend more money with the company in order to use the amount I had already paid.
What disappointed me most was the complete lack of accountability. The location issue was blamed on me. The missed service was effectively my responsibility because I apparently should have remembered everything that had to be done. The expert’s rush and incomplete service were not adequately addressed. And customer care did not provide a meaningful solution either.
As a customer, I should not have to manage the expert’s timing, remind her about the services I have already booked, ensure that she doesn’t leave before completing them, and then chase her after she leaves.
I have used Yes Madam services before and had much better experiences, which is why this experience was particularly disappointing. This time, it felt as though the priority was simply to complete the payment and close the booking rather than actually ensure that the customer received the service that was paid for.
I hope Yes Madam seriously reviews this incident, the expert’s conduct, the handling of the booking/location issue, and the customer-care resolution process. A customer should not be made responsible for problems caused by the app, nor should they have to bear the loss when a booked service is left incomplete.</t>
        </is>
      </c>
      <c r="H170" s="9" t="inlineStr">
        <is>
          <t>service_quality</t>
        </is>
      </c>
      <c r="I170" s="9" t="inlineStr">
        <is>
          <t>rushed_or_incomplete</t>
        </is>
      </c>
      <c r="J170" s="9" t="inlineStr">
        <is>
          <t>delay, app, payment_refund, support, product_fit</t>
        </is>
      </c>
      <c r="K170" s="9" t="inlineStr">
        <is>
          <t>yes</t>
        </is>
      </c>
      <c r="L170" s="9" t="inlineStr">
        <is>
          <t>yes</t>
        </is>
      </c>
      <c r="M170" s="9" t="inlineStr">
        <is>
          <t>medium</t>
        </is>
      </c>
      <c r="N170" s="9" t="inlineStr">
        <is>
          <t>no</t>
        </is>
      </c>
      <c r="O170" s="9" t="inlineStr">
        <is>
          <t>multiple</t>
        </is>
      </c>
      <c r="P170" s="9" t="inlineStr"/>
      <c r="Q170" s="9" t="n">
        <v>500</v>
      </c>
      <c r="R170" s="59" t="inlineStr">
        <is>
          <t>she was already in a rush. As a result, one of my booked services — threading — was completely missed.</t>
        </is>
      </c>
      <c r="S170" s="9" t="inlineStr">
        <is>
          <t>service_quality</t>
        </is>
      </c>
      <c r="T170" s="9" t="inlineStr">
        <is>
          <t>service_quality</t>
        </is>
      </c>
      <c r="U170" s="59" t="inlineStr"/>
    </row>
    <row r="171">
      <c r="A171" s="9" t="n">
        <v>170</v>
      </c>
      <c r="B171" s="58" t="n">
        <v>46284</v>
      </c>
      <c r="C171" s="9" t="str">
        <f>TEXT(B171,"yyyy-mm")</f>
        <v>2026-09</v>
      </c>
      <c r="D171" s="9" t="n">
        <v>5</v>
      </c>
      <c r="E171" s="9" t="inlineStr">
        <is>
          <t>18.8.0</t>
        </is>
      </c>
      <c r="F171" s="59" t="inlineStr">
        <is>
          <t>Massages</t>
        </is>
      </c>
      <c r="G171" s="59" t="inlineStr">
        <is>
          <t>Very good</t>
        </is>
      </c>
      <c r="H171" s="9" t="inlineStr">
        <is>
          <t>praise</t>
        </is>
      </c>
      <c r="I171" s="9" t="inlineStr">
        <is>
          <t>praise_service</t>
        </is>
      </c>
      <c r="J171" s="9" t="inlineStr"/>
      <c r="K171" s="9" t="inlineStr">
        <is>
          <t>no</t>
        </is>
      </c>
      <c r="L171" s="9" t="inlineStr">
        <is>
          <t>no</t>
        </is>
      </c>
      <c r="M171" s="9" t="inlineStr">
        <is>
          <t>none</t>
        </is>
      </c>
      <c r="N171" s="9" t="inlineStr">
        <is>
          <t>no</t>
        </is>
      </c>
      <c r="O171" s="9" t="inlineStr">
        <is>
          <t>massage_spa</t>
        </is>
      </c>
      <c r="P171" s="9" t="inlineStr"/>
      <c r="Q171" s="9" t="n">
        <v>0</v>
      </c>
      <c r="R171" s="59" t="inlineStr">
        <is>
          <t>Very good</t>
        </is>
      </c>
      <c r="S171" s="9" t="inlineStr">
        <is>
          <t>praise</t>
        </is>
      </c>
      <c r="T171" s="9" t="inlineStr">
        <is>
          <t>praise</t>
        </is>
      </c>
      <c r="U171" s="59" t="inlineStr"/>
    </row>
    <row r="172">
      <c r="A172" s="9" t="n">
        <v>171</v>
      </c>
      <c r="B172" s="58" t="n">
        <v>46284</v>
      </c>
      <c r="C172" s="9" t="str">
        <f>TEXT(B172,"yyyy-mm")</f>
        <v>2026-09</v>
      </c>
      <c r="D172" s="9" t="n">
        <v>5</v>
      </c>
      <c r="E172" s="9" t="inlineStr">
        <is>
          <t>18.8.0</t>
        </is>
      </c>
      <c r="F172" s="59" t="inlineStr">
        <is>
          <t>The best spa</t>
        </is>
      </c>
      <c r="G172" s="59" t="inlineStr">
        <is>
          <t>Hands down one of the absolute best massages I’ve ever had! Every knot and bit of tension just melted away. The pressure was perfect, and the whole experience was amazingly relaxing. 10/10, I will definitely be back!</t>
        </is>
      </c>
      <c r="H172" s="9" t="inlineStr">
        <is>
          <t>praise</t>
        </is>
      </c>
      <c r="I172" s="9" t="inlineStr">
        <is>
          <t>praise_service</t>
        </is>
      </c>
      <c r="J172" s="9" t="inlineStr"/>
      <c r="K172" s="9" t="inlineStr">
        <is>
          <t>no</t>
        </is>
      </c>
      <c r="L172" s="9" t="inlineStr">
        <is>
          <t>no</t>
        </is>
      </c>
      <c r="M172" s="9" t="inlineStr">
        <is>
          <t>none</t>
        </is>
      </c>
      <c r="N172" s="9" t="inlineStr">
        <is>
          <t>no</t>
        </is>
      </c>
      <c r="O172" s="9" t="inlineStr">
        <is>
          <t>massage_spa</t>
        </is>
      </c>
      <c r="P172" s="9" t="inlineStr"/>
      <c r="Q172" s="9" t="n">
        <v>0</v>
      </c>
      <c r="R172" s="59" t="inlineStr">
        <is>
          <t>Hands down one of the absolute best massages I’ve ever had! Every knot and bit of tension just melted away.</t>
        </is>
      </c>
      <c r="S172" s="9" t="inlineStr">
        <is>
          <t>praise</t>
        </is>
      </c>
      <c r="T172" s="9" t="inlineStr">
        <is>
          <t>praise</t>
        </is>
      </c>
      <c r="U172" s="59" t="inlineStr"/>
    </row>
    <row r="173">
      <c r="A173" s="9" t="n">
        <v>172</v>
      </c>
      <c r="B173" s="58" t="n">
        <v>46284</v>
      </c>
      <c r="C173" s="9" t="str">
        <f>TEXT(B173,"yyyy-mm")</f>
        <v>2026-09</v>
      </c>
      <c r="D173" s="9" t="n">
        <v>5</v>
      </c>
      <c r="E173" s="9" t="inlineStr">
        <is>
          <t>18.8.0</t>
        </is>
      </c>
      <c r="F173" s="59" t="inlineStr">
        <is>
          <t>Amazing services</t>
        </is>
      </c>
      <c r="G173" s="59" t="inlineStr">
        <is>
          <t>Relaxing and 
Excellent services</t>
        </is>
      </c>
      <c r="H173" s="9" t="inlineStr">
        <is>
          <t>praise</t>
        </is>
      </c>
      <c r="I173" s="9" t="inlineStr">
        <is>
          <t>praise_service</t>
        </is>
      </c>
      <c r="J173" s="9" t="inlineStr"/>
      <c r="K173" s="9" t="inlineStr">
        <is>
          <t>no</t>
        </is>
      </c>
      <c r="L173" s="9" t="inlineStr">
        <is>
          <t>no</t>
        </is>
      </c>
      <c r="M173" s="9" t="inlineStr">
        <is>
          <t>none</t>
        </is>
      </c>
      <c r="N173" s="9" t="inlineStr">
        <is>
          <t>no</t>
        </is>
      </c>
      <c r="O173" s="9" t="inlineStr">
        <is>
          <t>unknown</t>
        </is>
      </c>
      <c r="P173" s="9" t="inlineStr"/>
      <c r="Q173" s="9" t="n">
        <v>0</v>
      </c>
      <c r="R173" s="59" t="inlineStr">
        <is>
          <t>Relaxing and Excellent services</t>
        </is>
      </c>
      <c r="S173" s="9" t="inlineStr">
        <is>
          <t>praise</t>
        </is>
      </c>
      <c r="T173" s="9" t="inlineStr">
        <is>
          <t>praise</t>
        </is>
      </c>
      <c r="U173" s="59" t="inlineStr"/>
    </row>
    <row r="174">
      <c r="A174" s="9" t="n">
        <v>173</v>
      </c>
      <c r="B174" s="58" t="n">
        <v>46284</v>
      </c>
      <c r="C174" s="9" t="str">
        <f>TEXT(B174,"yyyy-mm")</f>
        <v>2026-09</v>
      </c>
      <c r="D174" s="9" t="n">
        <v>5</v>
      </c>
      <c r="E174" s="9" t="inlineStr">
        <is>
          <t>18.8.0</t>
        </is>
      </c>
      <c r="F174" s="59" t="inlineStr">
        <is>
          <t>great service 👌🏼</t>
        </is>
      </c>
      <c r="G174" s="59" t="inlineStr">
        <is>
          <t>[name] aapne bhut aacha kaam kiya aapki mehnat aur dedication clearly dikh rahi thi bhut aacha work keep it up!❤️👍</t>
        </is>
      </c>
      <c r="H174" s="9" t="inlineStr">
        <is>
          <t>praise</t>
        </is>
      </c>
      <c r="I174" s="9" t="inlineStr">
        <is>
          <t>praise_professional</t>
        </is>
      </c>
      <c r="J174" s="9" t="inlineStr"/>
      <c r="K174" s="9" t="inlineStr">
        <is>
          <t>no</t>
        </is>
      </c>
      <c r="L174" s="9" t="inlineStr">
        <is>
          <t>no</t>
        </is>
      </c>
      <c r="M174" s="9" t="inlineStr">
        <is>
          <t>none</t>
        </is>
      </c>
      <c r="N174" s="9" t="inlineStr">
        <is>
          <t>no</t>
        </is>
      </c>
      <c r="O174" s="9" t="inlineStr">
        <is>
          <t>unknown</t>
        </is>
      </c>
      <c r="P174" s="9" t="inlineStr"/>
      <c r="Q174" s="9" t="n">
        <v>0</v>
      </c>
      <c r="R174" s="59" t="inlineStr">
        <is>
          <t>[name] aapne bhut aacha kaam kiya aapki mehnat aur dedication clearly dikh rahi thi bhut aacha work keep it up!</t>
        </is>
      </c>
      <c r="S174" s="9" t="inlineStr">
        <is>
          <t>praise</t>
        </is>
      </c>
      <c r="T174" s="9" t="inlineStr">
        <is>
          <t>praise</t>
        </is>
      </c>
      <c r="U174" s="59" t="inlineStr"/>
    </row>
    <row r="175">
      <c r="A175" s="9" t="n">
        <v>174</v>
      </c>
      <c r="B175" s="58" t="n">
        <v>46284</v>
      </c>
      <c r="C175" s="9" t="str">
        <f>TEXT(B175,"yyyy-mm")</f>
        <v>2026-09</v>
      </c>
      <c r="D175" s="9" t="n">
        <v>1</v>
      </c>
      <c r="E175" s="9" t="inlineStr">
        <is>
          <t>18.8.0</t>
        </is>
      </c>
      <c r="F175" s="59" t="inlineStr">
        <is>
          <t>Tech team is highly untechnical</t>
        </is>
      </c>
      <c r="G175" s="59" t="inlineStr">
        <is>
          <t>Unable to book slot so raise concerns over email as they don’t have fast (phone and WhatsApp’s )communication  highlighting issues in app they came back and told offer is limited I feel they don’t know how to read email they assume only high demand so no booking. Then tech team asked send snap of issue I sent they unable to understand their app and asking to send screen recording this was completely unacceptable tech team thinks customer should work for them as BA to provide evidence and do impact analysis without any salary. From screenshot they are unable to understand their app and replicate issue then deploy a fix</t>
        </is>
      </c>
      <c r="H175" s="9" t="inlineStr">
        <is>
          <t>app</t>
        </is>
      </c>
      <c r="I175" s="9" t="inlineStr">
        <is>
          <t>booking_or_checkout_bug</t>
        </is>
      </c>
      <c r="J175" s="9" t="inlineStr">
        <is>
          <t>support, price_clarity</t>
        </is>
      </c>
      <c r="K175" s="9" t="inlineStr">
        <is>
          <t>yes</t>
        </is>
      </c>
      <c r="L175" s="9" t="inlineStr">
        <is>
          <t>yes</t>
        </is>
      </c>
      <c r="M175" s="9" t="inlineStr">
        <is>
          <t>low</t>
        </is>
      </c>
      <c r="N175" s="9" t="inlineStr">
        <is>
          <t>no</t>
        </is>
      </c>
      <c r="O175" s="9" t="inlineStr">
        <is>
          <t>unknown</t>
        </is>
      </c>
      <c r="P175" s="9" t="inlineStr"/>
      <c r="Q175" s="9" t="n">
        <v>0</v>
      </c>
      <c r="R175" s="59" t="inlineStr">
        <is>
          <t>Unable to book slot so raise concerns over email as they don’t have fast (phone and WhatsApp’s )communication highlighting issues in app</t>
        </is>
      </c>
      <c r="S175" s="9" t="inlineStr">
        <is>
          <t>app</t>
        </is>
      </c>
      <c r="T175" s="9" t="inlineStr">
        <is>
          <t>app</t>
        </is>
      </c>
      <c r="U175" s="59" t="inlineStr"/>
    </row>
    <row r="176">
      <c r="A176" s="9" t="n">
        <v>175</v>
      </c>
      <c r="B176" s="58" t="n">
        <v>46283</v>
      </c>
      <c r="C176" s="9" t="str">
        <f>TEXT(B176,"yyyy-mm")</f>
        <v>2026-09</v>
      </c>
      <c r="D176" s="9" t="n">
        <v>1</v>
      </c>
      <c r="E176" s="9" t="inlineStr">
        <is>
          <t>18.8.0</t>
        </is>
      </c>
      <c r="F176" s="59" t="inlineStr">
        <is>
          <t>Very Disappointing Service – Not Completed Properly for My Mother</t>
        </is>
      </c>
      <c r="G176" s="59" t="inlineStr">
        <is>
          <t>I booked this service for my mother expecting a professional, comfortable, and properly completed experience, but unfortunately the service was extremely disappointing. The work was not done properly and the overall experience did not meet the standard I expected after paying for a professional home service.
Since the booking was specifically for my mother, I was particularly concerned about her comfort and whether the service would be carried out carefully and completely. Instead, we were left feeling that the service was incomplete and not performed with the level of attention, care, and professionalism that customers should receive.
When people book a service like this for their parents or elderly family members, they place a lot of trust in the company and the assigned professional. It is not just about completing a booking on the app; the actual quality of the service matters. Customers should not have to keep checking whether everything has been done correctly or feel dissatisfied after the appointment.
I am very unhappy with this experience. I booked through the platform because I expected trained professionals, proper service standards, and accountability. Unfortunately, this booking did not live up to those expectations. The company should seriously review the quality of service provided in this case and ensure that professionals complete the booked service properly instead of leaving customers dissatisfied.
I would also expect customer support to take complaints like this seriously and provide an appropriate resolution, whether that means arranging the service again properly or providing a suitable refund/compensation. A customer should receive what they paid for, especially when the booking is made for an elderly parent.
Overall, this was a very disappointing experience. I hope the company takes this feedback seriously, investigates what went wrong, and improves its quality checks so that other customers do not face the same problem.</t>
        </is>
      </c>
      <c r="H176" s="9" t="inlineStr">
        <is>
          <t>service_quality</t>
        </is>
      </c>
      <c r="I176" s="9" t="inlineStr">
        <is>
          <t>rushed_or_incomplete</t>
        </is>
      </c>
      <c r="J176" s="9" t="inlineStr"/>
      <c r="K176" s="9" t="inlineStr">
        <is>
          <t>no</t>
        </is>
      </c>
      <c r="L176" s="9" t="inlineStr">
        <is>
          <t>no</t>
        </is>
      </c>
      <c r="M176" s="9" t="inlineStr">
        <is>
          <t>medium</t>
        </is>
      </c>
      <c r="N176" s="9" t="inlineStr">
        <is>
          <t>no</t>
        </is>
      </c>
      <c r="O176" s="9" t="inlineStr">
        <is>
          <t>unknown</t>
        </is>
      </c>
      <c r="P176" s="9" t="inlineStr"/>
      <c r="Q176" s="9" t="n">
        <v>0</v>
      </c>
      <c r="R176" s="59" t="inlineStr">
        <is>
          <t>The work was not done properly and the overall experience did not meet the standard I expected after paying for a professional home service.</t>
        </is>
      </c>
      <c r="S176" s="9" t="inlineStr">
        <is>
          <t>service_quality</t>
        </is>
      </c>
      <c r="T176" s="9" t="inlineStr">
        <is>
          <t>service_quality</t>
        </is>
      </c>
      <c r="U176" s="59" t="inlineStr"/>
    </row>
    <row r="177">
      <c r="A177" s="9" t="n">
        <v>176</v>
      </c>
      <c r="B177" s="58" t="n">
        <v>46283</v>
      </c>
      <c r="C177" s="9" t="str">
        <f>TEXT(B177,"yyyy-mm")</f>
        <v>2026-09</v>
      </c>
      <c r="D177" s="9" t="n">
        <v>5</v>
      </c>
      <c r="E177" s="9" t="inlineStr">
        <is>
          <t>18.8.0</t>
        </is>
      </c>
      <c r="F177" s="59" t="inlineStr">
        <is>
          <t>Nose hair wax and nail art</t>
        </is>
      </c>
      <c r="G177" s="59" t="inlineStr">
        <is>
          <t>Pls start these services also</t>
        </is>
      </c>
      <c r="H177" s="9" t="inlineStr">
        <is>
          <t>other</t>
        </is>
      </c>
      <c r="I177" s="9" t="inlineStr">
        <is>
          <t>other_issue</t>
        </is>
      </c>
      <c r="J177" s="9" t="inlineStr"/>
      <c r="K177" s="9" t="inlineStr">
        <is>
          <t>no</t>
        </is>
      </c>
      <c r="L177" s="9" t="inlineStr">
        <is>
          <t>no</t>
        </is>
      </c>
      <c r="M177" s="9" t="inlineStr">
        <is>
          <t>low</t>
        </is>
      </c>
      <c r="N177" s="9" t="inlineStr">
        <is>
          <t>no</t>
        </is>
      </c>
      <c r="O177" s="9" t="inlineStr">
        <is>
          <t>multiple</t>
        </is>
      </c>
      <c r="P177" s="9" t="inlineStr"/>
      <c r="Q177" s="9" t="n">
        <v>0</v>
      </c>
      <c r="R177" s="59" t="inlineStr">
        <is>
          <t>Nose hair wax and nail art. Pls start these services also</t>
        </is>
      </c>
      <c r="S177" s="9" t="inlineStr">
        <is>
          <t>other</t>
        </is>
      </c>
      <c r="T177" s="9" t="inlineStr">
        <is>
          <t>other</t>
        </is>
      </c>
      <c r="U177" s="59" t="inlineStr"/>
    </row>
    <row r="178">
      <c r="A178" s="9" t="n">
        <v>177</v>
      </c>
      <c r="B178" s="58" t="n">
        <v>46283</v>
      </c>
      <c r="C178" s="9" t="str">
        <f>TEXT(B178,"yyyy-mm")</f>
        <v>2026-09</v>
      </c>
      <c r="D178" s="9" t="n">
        <v>5</v>
      </c>
      <c r="E178" s="9" t="inlineStr">
        <is>
          <t>18.8.0</t>
        </is>
      </c>
      <c r="F178" s="59" t="inlineStr">
        <is>
          <t>Facial, threading</t>
        </is>
      </c>
      <c r="G178" s="59" t="inlineStr">
        <is>
          <t>[name] really done very well I am really satisfied with her work</t>
        </is>
      </c>
      <c r="H178" s="9" t="inlineStr">
        <is>
          <t>praise</t>
        </is>
      </c>
      <c r="I178" s="9" t="inlineStr">
        <is>
          <t>praise_professional</t>
        </is>
      </c>
      <c r="J178" s="9" t="inlineStr"/>
      <c r="K178" s="9" t="inlineStr">
        <is>
          <t>no</t>
        </is>
      </c>
      <c r="L178" s="9" t="inlineStr">
        <is>
          <t>no</t>
        </is>
      </c>
      <c r="M178" s="9" t="inlineStr">
        <is>
          <t>none</t>
        </is>
      </c>
      <c r="N178" s="9" t="inlineStr">
        <is>
          <t>no</t>
        </is>
      </c>
      <c r="O178" s="9" t="inlineStr">
        <is>
          <t>multiple</t>
        </is>
      </c>
      <c r="P178" s="9" t="inlineStr"/>
      <c r="Q178" s="9" t="n">
        <v>0</v>
      </c>
      <c r="R178" s="59" t="inlineStr">
        <is>
          <t>[name] really done very well I am really satisfied with her work</t>
        </is>
      </c>
      <c r="S178" s="9" t="inlineStr">
        <is>
          <t>praise</t>
        </is>
      </c>
      <c r="T178" s="9" t="inlineStr">
        <is>
          <t>praise</t>
        </is>
      </c>
      <c r="U178" s="59" t="inlineStr"/>
    </row>
    <row r="179">
      <c r="A179" s="9" t="n">
        <v>178</v>
      </c>
      <c r="B179" s="58" t="n">
        <v>46283</v>
      </c>
      <c r="C179" s="9" t="str">
        <f>TEXT(B179,"yyyy-mm")</f>
        <v>2026-09</v>
      </c>
      <c r="D179" s="9" t="n">
        <v>5</v>
      </c>
      <c r="E179" s="9" t="inlineStr">
        <is>
          <t>18.8.0</t>
        </is>
      </c>
      <c r="F179" s="59" t="inlineStr">
        <is>
          <t>[name]</t>
        </is>
      </c>
      <c r="G179" s="59" t="inlineStr">
        <is>
          <t>[name] amazing work loved it very friendly sweet loved her massage especially she’s too good highly recommended thank you so much ❤️</t>
        </is>
      </c>
      <c r="H179" s="9" t="inlineStr">
        <is>
          <t>praise</t>
        </is>
      </c>
      <c r="I179" s="9" t="inlineStr">
        <is>
          <t>praise_professional</t>
        </is>
      </c>
      <c r="J179" s="9" t="inlineStr"/>
      <c r="K179" s="9" t="inlineStr">
        <is>
          <t>no</t>
        </is>
      </c>
      <c r="L179" s="9" t="inlineStr">
        <is>
          <t>no</t>
        </is>
      </c>
      <c r="M179" s="9" t="inlineStr">
        <is>
          <t>none</t>
        </is>
      </c>
      <c r="N179" s="9" t="inlineStr">
        <is>
          <t>no</t>
        </is>
      </c>
      <c r="O179" s="9" t="inlineStr">
        <is>
          <t>massage_spa</t>
        </is>
      </c>
      <c r="P179" s="9" t="inlineStr"/>
      <c r="Q179" s="9" t="n">
        <v>0</v>
      </c>
      <c r="R179" s="59" t="inlineStr">
        <is>
          <t>[name] amazing work loved it very friendly sweet loved her massage especially she’s too good highly recommended</t>
        </is>
      </c>
      <c r="S179" s="9" t="inlineStr">
        <is>
          <t>praise</t>
        </is>
      </c>
      <c r="T179" s="9" t="inlineStr">
        <is>
          <t>praise</t>
        </is>
      </c>
      <c r="U179" s="59" t="inlineStr"/>
    </row>
    <row r="180">
      <c r="A180" s="9" t="n">
        <v>179</v>
      </c>
      <c r="B180" s="58" t="n">
        <v>46283</v>
      </c>
      <c r="C180" s="9" t="str">
        <f>TEXT(B180,"yyyy-mm")</f>
        <v>2026-09</v>
      </c>
      <c r="D180" s="9" t="n">
        <v>1</v>
      </c>
      <c r="E180" s="9" t="inlineStr">
        <is>
          <t>18.8.0</t>
        </is>
      </c>
      <c r="F180" s="59" t="inlineStr">
        <is>
          <t>Very poor service</t>
        </is>
      </c>
      <c r="G180" s="59" t="inlineStr">
        <is>
          <t>Do not recommend this app or their service</t>
        </is>
      </c>
      <c r="H180" s="9" t="inlineStr">
        <is>
          <t>other</t>
        </is>
      </c>
      <c r="I180" s="9" t="inlineStr">
        <is>
          <t>unclear</t>
        </is>
      </c>
      <c r="J180" s="9" t="inlineStr"/>
      <c r="K180" s="9" t="inlineStr">
        <is>
          <t>no</t>
        </is>
      </c>
      <c r="L180" s="9" t="inlineStr">
        <is>
          <t>no</t>
        </is>
      </c>
      <c r="M180" s="9" t="inlineStr">
        <is>
          <t>low</t>
        </is>
      </c>
      <c r="N180" s="9" t="inlineStr">
        <is>
          <t>no</t>
        </is>
      </c>
      <c r="O180" s="9" t="inlineStr">
        <is>
          <t>unknown</t>
        </is>
      </c>
      <c r="P180" s="9" t="inlineStr"/>
      <c r="Q180" s="9" t="n">
        <v>0</v>
      </c>
      <c r="R180" s="59" t="inlineStr">
        <is>
          <t>Do not recommend this app or their service</t>
        </is>
      </c>
      <c r="S180" s="9" t="inlineStr">
        <is>
          <t>other</t>
        </is>
      </c>
      <c r="T180" s="9" t="inlineStr">
        <is>
          <t>other</t>
        </is>
      </c>
      <c r="U180" s="59" t="inlineStr"/>
    </row>
    <row r="181">
      <c r="A181" s="9" t="n">
        <v>180</v>
      </c>
      <c r="B181" s="58" t="n">
        <v>46283</v>
      </c>
      <c r="C181" s="9" t="str">
        <f>TEXT(B181,"yyyy-mm")</f>
        <v>2026-09</v>
      </c>
      <c r="D181" s="9" t="n">
        <v>5</v>
      </c>
      <c r="E181" s="9" t="inlineStr">
        <is>
          <t>18.8.0</t>
        </is>
      </c>
      <c r="F181" s="59" t="inlineStr">
        <is>
          <t>Superb service</t>
        </is>
      </c>
      <c r="G181" s="59" t="inlineStr">
        <is>
          <t>First time I used yea madam service,no hectic, good experience at home. Will be using the same in future</t>
        </is>
      </c>
      <c r="H181" s="9" t="inlineStr">
        <is>
          <t>praise</t>
        </is>
      </c>
      <c r="I181" s="9" t="inlineStr">
        <is>
          <t>praise_service</t>
        </is>
      </c>
      <c r="J181" s="9" t="inlineStr"/>
      <c r="K181" s="9" t="inlineStr">
        <is>
          <t>no</t>
        </is>
      </c>
      <c r="L181" s="9" t="inlineStr">
        <is>
          <t>no</t>
        </is>
      </c>
      <c r="M181" s="9" t="inlineStr">
        <is>
          <t>none</t>
        </is>
      </c>
      <c r="N181" s="9" t="inlineStr">
        <is>
          <t>no</t>
        </is>
      </c>
      <c r="O181" s="9" t="inlineStr">
        <is>
          <t>unknown</t>
        </is>
      </c>
      <c r="P181" s="9" t="inlineStr"/>
      <c r="Q181" s="9" t="n">
        <v>0</v>
      </c>
      <c r="R181" s="59" t="inlineStr">
        <is>
          <t>First time I used yea madam service,no hectic, good experience at home. Will be using the same in future</t>
        </is>
      </c>
      <c r="S181" s="9" t="inlineStr">
        <is>
          <t>praise</t>
        </is>
      </c>
      <c r="T181" s="9" t="inlineStr">
        <is>
          <t>praise</t>
        </is>
      </c>
      <c r="U181" s="59" t="inlineStr"/>
    </row>
    <row r="182">
      <c r="A182" s="9" t="n">
        <v>181</v>
      </c>
      <c r="B182" s="58" t="n">
        <v>46282</v>
      </c>
      <c r="C182" s="9" t="str">
        <f>TEXT(B182,"yyyy-mm")</f>
        <v>2026-09</v>
      </c>
      <c r="D182" s="9" t="n">
        <v>5</v>
      </c>
      <c r="E182" s="9" t="inlineStr">
        <is>
          <t>18.8.0</t>
        </is>
      </c>
      <c r="F182" s="59" t="inlineStr">
        <is>
          <t>Service and app review</t>
        </is>
      </c>
      <c r="G182" s="59" t="inlineStr">
        <is>
          <t>I was looking for an alternative as the competitor was getting very pricey for same service. Tried YesMadam service twice now. The service providers have been skilled, professional yet soft spoken and gentle. Hygiene is followed and all products used are new, box opened. Rates are reasonable not overly priced. Would appreciate if there was a pay after service option.</t>
        </is>
      </c>
      <c r="H182" s="9" t="inlineStr">
        <is>
          <t>praise</t>
        </is>
      </c>
      <c r="I182" s="9" t="inlineStr">
        <is>
          <t>praise_professional</t>
        </is>
      </c>
      <c r="J182" s="9" t="inlineStr"/>
      <c r="K182" s="9" t="inlineStr">
        <is>
          <t>no</t>
        </is>
      </c>
      <c r="L182" s="9" t="inlineStr">
        <is>
          <t>no</t>
        </is>
      </c>
      <c r="M182" s="9" t="inlineStr">
        <is>
          <t>none</t>
        </is>
      </c>
      <c r="N182" s="9" t="inlineStr">
        <is>
          <t>no</t>
        </is>
      </c>
      <c r="O182" s="9" t="inlineStr">
        <is>
          <t>unknown</t>
        </is>
      </c>
      <c r="P182" s="9" t="inlineStr"/>
      <c r="Q182" s="9" t="n">
        <v>0</v>
      </c>
      <c r="R182" s="59" t="inlineStr">
        <is>
          <t>The service providers have been skilled, professional yet soft spoken and gentle. Hygiene is followed and all products used are new</t>
        </is>
      </c>
      <c r="S182" s="9" t="inlineStr">
        <is>
          <t>praise</t>
        </is>
      </c>
      <c r="T182" s="9" t="inlineStr">
        <is>
          <t>praise</t>
        </is>
      </c>
      <c r="U182" s="59" t="inlineStr"/>
    </row>
    <row r="183">
      <c r="A183" s="9" t="n">
        <v>182</v>
      </c>
      <c r="B183" s="58" t="n">
        <v>46282</v>
      </c>
      <c r="C183" s="9" t="str">
        <f>TEXT(B183,"yyyy-mm")</f>
        <v>2026-09</v>
      </c>
      <c r="D183" s="9" t="n">
        <v>1</v>
      </c>
      <c r="E183" s="9" t="inlineStr">
        <is>
          <t>18.8.0</t>
        </is>
      </c>
      <c r="F183" s="59" t="inlineStr">
        <is>
          <t>Unnecessary</t>
        </is>
      </c>
      <c r="G183" s="59" t="inlineStr">
        <is>
          <t>Asks for update every 3-4 days. Uninstalling as it is not worth to keep updating every time you open the app</t>
        </is>
      </c>
      <c r="H183" s="9" t="inlineStr">
        <is>
          <t>app</t>
        </is>
      </c>
      <c r="I183" s="9" t="inlineStr">
        <is>
          <t>other_app</t>
        </is>
      </c>
      <c r="J183" s="9" t="inlineStr"/>
      <c r="K183" s="9" t="inlineStr">
        <is>
          <t>no</t>
        </is>
      </c>
      <c r="L183" s="9" t="inlineStr">
        <is>
          <t>no</t>
        </is>
      </c>
      <c r="M183" s="9" t="inlineStr">
        <is>
          <t>low</t>
        </is>
      </c>
      <c r="N183" s="9" t="inlineStr">
        <is>
          <t>yes</t>
        </is>
      </c>
      <c r="O183" s="9" t="inlineStr">
        <is>
          <t>unknown</t>
        </is>
      </c>
      <c r="P183" s="9" t="inlineStr"/>
      <c r="Q183" s="9" t="n">
        <v>0</v>
      </c>
      <c r="R183" s="59" t="inlineStr">
        <is>
          <t>Asks for update every 3-4 days. Uninstalling as it is not worth to keep updating every time you open the app</t>
        </is>
      </c>
      <c r="S183" s="9" t="inlineStr">
        <is>
          <t>app</t>
        </is>
      </c>
      <c r="T183" s="9" t="inlineStr">
        <is>
          <t>app</t>
        </is>
      </c>
      <c r="U183" s="59" t="inlineStr"/>
    </row>
    <row r="184">
      <c r="A184" s="9" t="n">
        <v>183</v>
      </c>
      <c r="B184" s="58" t="n">
        <v>46282</v>
      </c>
      <c r="C184" s="9" t="str">
        <f>TEXT(B184,"yyyy-mm")</f>
        <v>2026-09</v>
      </c>
      <c r="D184" s="9" t="n">
        <v>3</v>
      </c>
      <c r="E184" s="9" t="inlineStr">
        <is>
          <t>18.8.0</t>
        </is>
      </c>
      <c r="F184" s="59" t="inlineStr">
        <is>
          <t>Customer support</t>
        </is>
      </c>
      <c r="G184" s="59" t="inlineStr">
        <is>
          <t>Need improvement and easy access</t>
        </is>
      </c>
      <c r="H184" s="9" t="inlineStr">
        <is>
          <t>support</t>
        </is>
      </c>
      <c r="I184" s="9" t="inlineStr">
        <is>
          <t>unreachable</t>
        </is>
      </c>
      <c r="J184" s="9" t="inlineStr"/>
      <c r="K184" s="9" t="inlineStr">
        <is>
          <t>no</t>
        </is>
      </c>
      <c r="L184" s="9" t="inlineStr">
        <is>
          <t>no</t>
        </is>
      </c>
      <c r="M184" s="9" t="inlineStr">
        <is>
          <t>low</t>
        </is>
      </c>
      <c r="N184" s="9" t="inlineStr">
        <is>
          <t>no</t>
        </is>
      </c>
      <c r="O184" s="9" t="inlineStr">
        <is>
          <t>unknown</t>
        </is>
      </c>
      <c r="P184" s="9" t="inlineStr"/>
      <c r="Q184" s="9" t="n">
        <v>0</v>
      </c>
      <c r="R184" s="59" t="inlineStr">
        <is>
          <t>Need improvement and easy access</t>
        </is>
      </c>
      <c r="S184" s="9" t="inlineStr">
        <is>
          <t>support</t>
        </is>
      </c>
      <c r="T184" s="9" t="inlineStr">
        <is>
          <t>support</t>
        </is>
      </c>
      <c r="U184" s="59" t="inlineStr"/>
    </row>
    <row r="185">
      <c r="A185" s="9" t="n">
        <v>184</v>
      </c>
      <c r="B185" s="58" t="n">
        <v>46281</v>
      </c>
      <c r="C185" s="9" t="str">
        <f>TEXT(B185,"yyyy-mm")</f>
        <v>2026-09</v>
      </c>
      <c r="D185" s="9" t="n">
        <v>3</v>
      </c>
      <c r="E185" s="9" t="inlineStr">
        <is>
          <t>18.8.0</t>
        </is>
      </c>
      <c r="F185" s="59" t="inlineStr">
        <is>
          <t>Cant see the product opt option</t>
        </is>
      </c>
      <c r="G185" s="59" t="inlineStr">
        <is>
          <t>As yes madam claims that they offer only services 
But in my ios app i am not able to get that edit option where i can remove the product and go for only service.</t>
        </is>
      </c>
      <c r="H185" s="9" t="inlineStr">
        <is>
          <t>app</t>
        </is>
      </c>
      <c r="I185" s="9" t="inlineStr">
        <is>
          <t>booking_or_checkout_bug</t>
        </is>
      </c>
      <c r="J185" s="9" t="inlineStr">
        <is>
          <t>price_clarity</t>
        </is>
      </c>
      <c r="K185" s="9" t="inlineStr">
        <is>
          <t>no</t>
        </is>
      </c>
      <c r="L185" s="9" t="inlineStr">
        <is>
          <t>no</t>
        </is>
      </c>
      <c r="M185" s="9" t="inlineStr">
        <is>
          <t>low</t>
        </is>
      </c>
      <c r="N185" s="9" t="inlineStr">
        <is>
          <t>no</t>
        </is>
      </c>
      <c r="O185" s="9" t="inlineStr">
        <is>
          <t>unknown</t>
        </is>
      </c>
      <c r="P185" s="9" t="inlineStr"/>
      <c r="Q185" s="9" t="n">
        <v>0</v>
      </c>
      <c r="R185" s="59" t="inlineStr">
        <is>
          <t>in my ios app i am not able to get that edit option where i can remove the product and go for only service.</t>
        </is>
      </c>
      <c r="S185" s="9" t="inlineStr">
        <is>
          <t>app</t>
        </is>
      </c>
      <c r="T185" s="9" t="inlineStr">
        <is>
          <t>app</t>
        </is>
      </c>
      <c r="U185" s="59" t="inlineStr"/>
    </row>
    <row r="186">
      <c r="A186" s="9" t="n">
        <v>185</v>
      </c>
      <c r="B186" s="58" t="n">
        <v>46281</v>
      </c>
      <c r="C186" s="9" t="str">
        <f>TEXT(B186,"yyyy-mm")</f>
        <v>2026-09</v>
      </c>
      <c r="D186" s="9" t="n">
        <v>1</v>
      </c>
      <c r="E186" s="9" t="inlineStr">
        <is>
          <t>18.8.0</t>
        </is>
      </c>
      <c r="F186" s="59" t="inlineStr">
        <is>
          <t>Worst service</t>
        </is>
      </c>
      <c r="G186" s="59" t="inlineStr">
        <is>
          <t>Cheap no professional beauticians service for facial and threading no steamer for facial don’t recommend anyone waste of money and time</t>
        </is>
      </c>
      <c r="H186" s="9" t="inlineStr">
        <is>
          <t>service_quality</t>
        </is>
      </c>
      <c r="I186" s="9" t="inlineStr">
        <is>
          <t>poor_skill</t>
        </is>
      </c>
      <c r="J186" s="9" t="inlineStr">
        <is>
          <t>product_fit</t>
        </is>
      </c>
      <c r="K186" s="9" t="inlineStr">
        <is>
          <t>no</t>
        </is>
      </c>
      <c r="L186" s="9" t="inlineStr">
        <is>
          <t>no</t>
        </is>
      </c>
      <c r="M186" s="9" t="inlineStr">
        <is>
          <t>medium</t>
        </is>
      </c>
      <c r="N186" s="9" t="inlineStr">
        <is>
          <t>no</t>
        </is>
      </c>
      <c r="O186" s="9" t="inlineStr">
        <is>
          <t>multiple</t>
        </is>
      </c>
      <c r="P186" s="9" t="inlineStr"/>
      <c r="Q186" s="9" t="n">
        <v>0</v>
      </c>
      <c r="R186" s="59" t="inlineStr">
        <is>
          <t>Cheap no professional beauticians service for facial and threading no steamer for facial don’t recommend anyone waste of money and time</t>
        </is>
      </c>
      <c r="S186" s="9" t="inlineStr">
        <is>
          <t>service_quality</t>
        </is>
      </c>
      <c r="T186" s="9" t="inlineStr">
        <is>
          <t>service_quality</t>
        </is>
      </c>
      <c r="U186" s="59" t="inlineStr"/>
    </row>
    <row r="187">
      <c r="A187" s="9" t="n">
        <v>186</v>
      </c>
      <c r="B187" s="58" t="n">
        <v>46281</v>
      </c>
      <c r="C187" s="9" t="str">
        <f>TEXT(B187,"yyyy-mm")</f>
        <v>2026-09</v>
      </c>
      <c r="D187" s="9" t="n">
        <v>1</v>
      </c>
      <c r="E187" s="9" t="inlineStr">
        <is>
          <t>18.8.0</t>
        </is>
      </c>
      <c r="F187" s="59" t="inlineStr">
        <is>
          <t>Worst app ever</t>
        </is>
      </c>
      <c r="G187" s="59" t="inlineStr">
        <is>
          <t>Worst app ever</t>
        </is>
      </c>
      <c r="H187" s="9" t="inlineStr">
        <is>
          <t>other</t>
        </is>
      </c>
      <c r="I187" s="9" t="inlineStr">
        <is>
          <t>unclear</t>
        </is>
      </c>
      <c r="J187" s="9" t="inlineStr"/>
      <c r="K187" s="9" t="inlineStr">
        <is>
          <t>no</t>
        </is>
      </c>
      <c r="L187" s="9" t="inlineStr">
        <is>
          <t>no</t>
        </is>
      </c>
      <c r="M187" s="9" t="inlineStr">
        <is>
          <t>low</t>
        </is>
      </c>
      <c r="N187" s="9" t="inlineStr">
        <is>
          <t>no</t>
        </is>
      </c>
      <c r="O187" s="9" t="inlineStr">
        <is>
          <t>unknown</t>
        </is>
      </c>
      <c r="P187" s="9" t="inlineStr"/>
      <c r="Q187" s="9" t="n">
        <v>0</v>
      </c>
      <c r="R187" s="59" t="inlineStr">
        <is>
          <t>Worst app ever</t>
        </is>
      </c>
      <c r="S187" s="9" t="inlineStr">
        <is>
          <t>other</t>
        </is>
      </c>
      <c r="T187" s="9" t="inlineStr">
        <is>
          <t>other</t>
        </is>
      </c>
      <c r="U187" s="59" t="inlineStr"/>
    </row>
    <row r="188">
      <c r="A188" s="9" t="n">
        <v>187</v>
      </c>
      <c r="B188" s="58" t="n">
        <v>46280</v>
      </c>
      <c r="C188" s="9" t="str">
        <f>TEXT(B188,"yyyy-mm")</f>
        <v>2026-09</v>
      </c>
      <c r="D188" s="9" t="n">
        <v>5</v>
      </c>
      <c r="E188" s="9" t="inlineStr">
        <is>
          <t>18.8.0</t>
        </is>
      </c>
      <c r="F188" s="59" t="inlineStr">
        <is>
          <t>Pleasant experience</t>
        </is>
      </c>
      <c r="G188" s="59" t="inlineStr">
        <is>
          <t>It was pleasant experience and was quite easy to book and get the service done.</t>
        </is>
      </c>
      <c r="H188" s="9" t="inlineStr">
        <is>
          <t>praise</t>
        </is>
      </c>
      <c r="I188" s="9" t="inlineStr">
        <is>
          <t>praise_service</t>
        </is>
      </c>
      <c r="J188" s="9" t="inlineStr"/>
      <c r="K188" s="9" t="inlineStr">
        <is>
          <t>no</t>
        </is>
      </c>
      <c r="L188" s="9" t="inlineStr">
        <is>
          <t>no</t>
        </is>
      </c>
      <c r="M188" s="9" t="inlineStr">
        <is>
          <t>none</t>
        </is>
      </c>
      <c r="N188" s="9" t="inlineStr">
        <is>
          <t>no</t>
        </is>
      </c>
      <c r="O188" s="9" t="inlineStr">
        <is>
          <t>unknown</t>
        </is>
      </c>
      <c r="P188" s="9" t="inlineStr"/>
      <c r="Q188" s="9" t="n">
        <v>0</v>
      </c>
      <c r="R188" s="59" t="inlineStr">
        <is>
          <t>It was pleasant experience and was quite easy to book and get the service done.</t>
        </is>
      </c>
      <c r="S188" s="9" t="inlineStr">
        <is>
          <t>praise</t>
        </is>
      </c>
      <c r="T188" s="9" t="inlineStr">
        <is>
          <t>praise</t>
        </is>
      </c>
      <c r="U188" s="59" t="inlineStr"/>
    </row>
    <row r="189">
      <c r="A189" s="9" t="n">
        <v>188</v>
      </c>
      <c r="B189" s="58" t="n">
        <v>46280</v>
      </c>
      <c r="C189" s="9" t="str">
        <f>TEXT(B189,"yyyy-mm")</f>
        <v>2026-09</v>
      </c>
      <c r="D189" s="9" t="n">
        <v>1</v>
      </c>
      <c r="E189" s="9" t="inlineStr">
        <is>
          <t>18.7.0</t>
        </is>
      </c>
      <c r="F189" s="59" t="inlineStr">
        <is>
          <t>Laser Treatment</t>
        </is>
      </c>
      <c r="G189" s="59" t="inlineStr">
        <is>
          <t>First I would say this platform have quality of service but customer care support is worst, if you need any assistance or like in my case I always ping them to book my laser session as no facility in app through it the same. I fed up to take multiple follow-up but 0 response, they will come back to you after 3-4 days, I will give 5 out of 1 rating fr customer support</t>
        </is>
      </c>
      <c r="H189" s="9" t="inlineStr">
        <is>
          <t>support</t>
        </is>
      </c>
      <c r="I189" s="9" t="inlineStr">
        <is>
          <t>slow_resolution</t>
        </is>
      </c>
      <c r="J189" s="9" t="inlineStr">
        <is>
          <t>app</t>
        </is>
      </c>
      <c r="K189" s="9" t="inlineStr">
        <is>
          <t>yes</t>
        </is>
      </c>
      <c r="L189" s="9" t="inlineStr">
        <is>
          <t>yes</t>
        </is>
      </c>
      <c r="M189" s="9" t="inlineStr">
        <is>
          <t>medium</t>
        </is>
      </c>
      <c r="N189" s="9" t="inlineStr">
        <is>
          <t>no</t>
        </is>
      </c>
      <c r="O189" s="9" t="inlineStr">
        <is>
          <t>laser_advanced</t>
        </is>
      </c>
      <c r="P189" s="9" t="inlineStr"/>
      <c r="Q189" s="9" t="n">
        <v>0</v>
      </c>
      <c r="R189" s="59" t="inlineStr">
        <is>
          <t>I fed up to take multiple follow-up but 0 response, they will come back to you after 3-4 days</t>
        </is>
      </c>
      <c r="S189" s="9" t="inlineStr">
        <is>
          <t>support</t>
        </is>
      </c>
      <c r="T189" s="9" t="inlineStr">
        <is>
          <t>support</t>
        </is>
      </c>
      <c r="U189" s="59" t="inlineStr"/>
    </row>
    <row r="190">
      <c r="A190" s="9" t="n">
        <v>189</v>
      </c>
      <c r="B190" s="58" t="n">
        <v>46280</v>
      </c>
      <c r="C190" s="9" t="str">
        <f>TEXT(B190,"yyyy-mm")</f>
        <v>2026-09</v>
      </c>
      <c r="D190" s="9" t="n">
        <v>5</v>
      </c>
      <c r="E190" s="9" t="inlineStr">
        <is>
          <t>18.7.0</t>
        </is>
      </c>
      <c r="F190" s="59" t="inlineStr">
        <is>
          <t>full body deep tissue</t>
        </is>
      </c>
      <c r="G190" s="59" t="inlineStr">
        <is>
          <t>Must Try once</t>
        </is>
      </c>
      <c r="H190" s="9" t="inlineStr">
        <is>
          <t>praise</t>
        </is>
      </c>
      <c r="I190" s="9" t="inlineStr">
        <is>
          <t>praise_service</t>
        </is>
      </c>
      <c r="J190" s="9" t="inlineStr"/>
      <c r="K190" s="9" t="inlineStr">
        <is>
          <t>no</t>
        </is>
      </c>
      <c r="L190" s="9" t="inlineStr">
        <is>
          <t>no</t>
        </is>
      </c>
      <c r="M190" s="9" t="inlineStr">
        <is>
          <t>none</t>
        </is>
      </c>
      <c r="N190" s="9" t="inlineStr">
        <is>
          <t>no</t>
        </is>
      </c>
      <c r="O190" s="9" t="inlineStr">
        <is>
          <t>massage_spa</t>
        </is>
      </c>
      <c r="P190" s="9" t="inlineStr"/>
      <c r="Q190" s="9" t="n">
        <v>0</v>
      </c>
      <c r="R190" s="59" t="inlineStr">
        <is>
          <t>Must Try once</t>
        </is>
      </c>
      <c r="S190" s="9" t="inlineStr">
        <is>
          <t>praise</t>
        </is>
      </c>
      <c r="T190" s="9" t="inlineStr">
        <is>
          <t>praise</t>
        </is>
      </c>
      <c r="U190" s="59" t="inlineStr"/>
    </row>
    <row r="191">
      <c r="A191" s="9" t="n">
        <v>190</v>
      </c>
      <c r="B191" s="58" t="n">
        <v>46280</v>
      </c>
      <c r="C191" s="9" t="str">
        <f>TEXT(B191,"yyyy-mm")</f>
        <v>2026-09</v>
      </c>
      <c r="D191" s="9" t="n">
        <v>1</v>
      </c>
      <c r="E191" s="9" t="inlineStr">
        <is>
          <t>18.7.0</t>
        </is>
      </c>
      <c r="F191" s="59" t="inlineStr">
        <is>
          <t>Not booking pedicure again.</t>
        </is>
      </c>
      <c r="G191" s="59" t="inlineStr">
        <is>
          <t>I honestly feel the ₹99 pedicure kit charge should be optional. If I have the kit left from my previous session, customer should be allowed to reuse it instead of being charged for a new one. This would also reduce unnecessary plastic waste and be better for the environment. Moreover, the professional still had to use her own kit/tools, so what’s the point of charging for this kit? She was right—the ₹99 kit isn’t sufficient to perform the pedicure properly.</t>
        </is>
      </c>
      <c r="H191" s="9" t="inlineStr">
        <is>
          <t>price_clarity</t>
        </is>
      </c>
      <c r="I191" s="9" t="inlineStr">
        <is>
          <t>hidden_charges</t>
        </is>
      </c>
      <c r="J191" s="9" t="inlineStr">
        <is>
          <t>product_fit</t>
        </is>
      </c>
      <c r="K191" s="9" t="inlineStr">
        <is>
          <t>no</t>
        </is>
      </c>
      <c r="L191" s="9" t="inlineStr">
        <is>
          <t>no</t>
        </is>
      </c>
      <c r="M191" s="9" t="inlineStr">
        <is>
          <t>low</t>
        </is>
      </c>
      <c r="N191" s="9" t="inlineStr">
        <is>
          <t>yes</t>
        </is>
      </c>
      <c r="O191" s="9" t="inlineStr">
        <is>
          <t>mani_pedi</t>
        </is>
      </c>
      <c r="P191" s="9" t="inlineStr"/>
      <c r="Q191" s="9" t="n">
        <v>99</v>
      </c>
      <c r="R191" s="59" t="inlineStr">
        <is>
          <t>I honestly feel the ₹99 pedicure kit charge should be optional.</t>
        </is>
      </c>
      <c r="S191" s="9" t="inlineStr">
        <is>
          <t>price_clarity</t>
        </is>
      </c>
      <c r="T191" s="9" t="inlineStr">
        <is>
          <t>price_clarity</t>
        </is>
      </c>
      <c r="U191" s="59" t="inlineStr"/>
    </row>
    <row r="192">
      <c r="A192" s="9" t="n">
        <v>191</v>
      </c>
      <c r="B192" s="58" t="n">
        <v>46279</v>
      </c>
      <c r="C192" s="9" t="str">
        <f>TEXT(B192,"yyyy-mm")</f>
        <v>2026-09</v>
      </c>
      <c r="D192" s="9" t="n">
        <v>1</v>
      </c>
      <c r="E192" s="9" t="inlineStr">
        <is>
          <t>18.7.0</t>
        </is>
      </c>
      <c r="F192" s="59" t="inlineStr">
        <is>
          <t>Bad Service and proffessionals</t>
        </is>
      </c>
      <c r="G192" s="59" t="inlineStr">
        <is>
          <t>Extremely bad and painful- burnt my under arm area and ruined my brows- please use urbanclap it is 100 times better</t>
        </is>
      </c>
      <c r="H192" s="9" t="inlineStr">
        <is>
          <t>service_quality</t>
        </is>
      </c>
      <c r="I192" s="9" t="inlineStr">
        <is>
          <t>skin_injury_or_reaction</t>
        </is>
      </c>
      <c r="J192" s="9" t="inlineStr"/>
      <c r="K192" s="9" t="inlineStr">
        <is>
          <t>no</t>
        </is>
      </c>
      <c r="L192" s="9" t="inlineStr">
        <is>
          <t>no</t>
        </is>
      </c>
      <c r="M192" s="9" t="inlineStr">
        <is>
          <t>high</t>
        </is>
      </c>
      <c r="N192" s="9" t="inlineStr">
        <is>
          <t>yes</t>
        </is>
      </c>
      <c r="O192" s="9" t="inlineStr">
        <is>
          <t>multiple</t>
        </is>
      </c>
      <c r="P192" s="9" t="inlineStr"/>
      <c r="Q192" s="9" t="n">
        <v>0</v>
      </c>
      <c r="R192" s="59" t="inlineStr">
        <is>
          <t>Extremely bad and painful- burnt my under arm area and ruined my brows- please use urbanclap it is 100 times better</t>
        </is>
      </c>
      <c r="S192" s="9" t="inlineStr">
        <is>
          <t>service_quality</t>
        </is>
      </c>
      <c r="T192" s="9" t="inlineStr">
        <is>
          <t>service_quality</t>
        </is>
      </c>
      <c r="U192" s="59" t="inlineStr"/>
    </row>
    <row r="193">
      <c r="A193" s="9" t="n">
        <v>192</v>
      </c>
      <c r="B193" s="58" t="n">
        <v>46279</v>
      </c>
      <c r="C193" s="9" t="str">
        <f>TEXT(B193,"yyyy-mm")</f>
        <v>2026-09</v>
      </c>
      <c r="D193" s="9" t="n">
        <v>1</v>
      </c>
      <c r="E193" s="9" t="inlineStr">
        <is>
          <t>18.7.0</t>
        </is>
      </c>
      <c r="F193" s="59" t="inlineStr">
        <is>
          <t>Professionals not coming on time.</t>
        </is>
      </c>
      <c r="G193" s="59" t="inlineStr">
        <is>
          <t>Zero customer support on change of professional.</t>
        </is>
      </c>
      <c r="H193" s="9" t="inlineStr">
        <is>
          <t>delay</t>
        </is>
      </c>
      <c r="I193" s="9" t="inlineStr">
        <is>
          <t>late_arrival</t>
        </is>
      </c>
      <c r="J193" s="9" t="inlineStr">
        <is>
          <t>support</t>
        </is>
      </c>
      <c r="K193" s="9" t="inlineStr">
        <is>
          <t>yes</t>
        </is>
      </c>
      <c r="L193" s="9" t="inlineStr">
        <is>
          <t>yes</t>
        </is>
      </c>
      <c r="M193" s="9" t="inlineStr">
        <is>
          <t>medium</t>
        </is>
      </c>
      <c r="N193" s="9" t="inlineStr">
        <is>
          <t>no</t>
        </is>
      </c>
      <c r="O193" s="9" t="inlineStr">
        <is>
          <t>unknown</t>
        </is>
      </c>
      <c r="P193" s="9" t="inlineStr"/>
      <c r="Q193" s="9" t="n">
        <v>0</v>
      </c>
      <c r="R193" s="59" t="inlineStr">
        <is>
          <t>Professionals not coming on time. Zero customer support on change of professional.</t>
        </is>
      </c>
      <c r="S193" s="9" t="inlineStr">
        <is>
          <t>delay</t>
        </is>
      </c>
      <c r="T193" s="9" t="inlineStr">
        <is>
          <t>delay</t>
        </is>
      </c>
      <c r="U193" s="59" t="inlineStr"/>
    </row>
    <row r="194">
      <c r="A194" s="9" t="n">
        <v>193</v>
      </c>
      <c r="B194" s="58" t="n">
        <v>46278</v>
      </c>
      <c r="C194" s="9" t="str">
        <f>TEXT(B194,"yyyy-mm")</f>
        <v>2026-09</v>
      </c>
      <c r="D194" s="9" t="n">
        <v>1</v>
      </c>
      <c r="E194" s="9" t="inlineStr">
        <is>
          <t>18.7.0</t>
        </is>
      </c>
      <c r="F194" s="59" t="inlineStr">
        <is>
          <t>So unprofessional</t>
        </is>
      </c>
      <c r="G194" s="59" t="inlineStr">
        <is>
          <t>I booked the service twice and last service I booked he kept me waiting till the given time slot and then I call the customer support and they told me that the service guy is not available he denied the duty suddenly and if I would have not call you guys you were not even bothered to inform me always wasting time better shut the company   down</t>
        </is>
      </c>
      <c r="H194" s="9" t="inlineStr">
        <is>
          <t>partner_cancellation</t>
        </is>
      </c>
      <c r="I194" s="9" t="inlineStr">
        <is>
          <t>last_minute_cancel</t>
        </is>
      </c>
      <c r="J194" s="9" t="inlineStr">
        <is>
          <t>support</t>
        </is>
      </c>
      <c r="K194" s="9" t="inlineStr">
        <is>
          <t>yes</t>
        </is>
      </c>
      <c r="L194" s="9" t="inlineStr">
        <is>
          <t>yes</t>
        </is>
      </c>
      <c r="M194" s="9" t="inlineStr">
        <is>
          <t>medium</t>
        </is>
      </c>
      <c r="N194" s="9" t="inlineStr">
        <is>
          <t>no</t>
        </is>
      </c>
      <c r="O194" s="9" t="inlineStr">
        <is>
          <t>unknown</t>
        </is>
      </c>
      <c r="P194" s="9" t="inlineStr"/>
      <c r="Q194" s="9" t="n">
        <v>0</v>
      </c>
      <c r="R194" s="59" t="inlineStr">
        <is>
          <t>I call the customer support and they told me that the service guy is not available he denied the duty suddenly</t>
        </is>
      </c>
      <c r="S194" s="9" t="inlineStr">
        <is>
          <t>partner_cancellation</t>
        </is>
      </c>
      <c r="T194" s="9" t="inlineStr">
        <is>
          <t>partner_cancellation</t>
        </is>
      </c>
      <c r="U194" s="59" t="inlineStr"/>
    </row>
    <row r="195">
      <c r="A195" s="9" t="n">
        <v>194</v>
      </c>
      <c r="B195" s="58" t="n">
        <v>46278</v>
      </c>
      <c r="C195" s="9" t="str">
        <f>TEXT(B195,"yyyy-mm")</f>
        <v>2026-09</v>
      </c>
      <c r="D195" s="9" t="n">
        <v>5</v>
      </c>
      <c r="E195" s="9" t="inlineStr">
        <is>
          <t>18.7.0</t>
        </is>
      </c>
      <c r="F195" s="59" t="inlineStr">
        <is>
          <t>Service</t>
        </is>
      </c>
      <c r="G195" s="59" t="inlineStr">
        <is>
          <t>For [name] good service attentive and on time</t>
        </is>
      </c>
      <c r="H195" s="9" t="inlineStr">
        <is>
          <t>praise</t>
        </is>
      </c>
      <c r="I195" s="9" t="inlineStr">
        <is>
          <t>praise_professional</t>
        </is>
      </c>
      <c r="J195" s="9" t="inlineStr"/>
      <c r="K195" s="9" t="inlineStr">
        <is>
          <t>no</t>
        </is>
      </c>
      <c r="L195" s="9" t="inlineStr">
        <is>
          <t>no</t>
        </is>
      </c>
      <c r="M195" s="9" t="inlineStr">
        <is>
          <t>none</t>
        </is>
      </c>
      <c r="N195" s="9" t="inlineStr">
        <is>
          <t>no</t>
        </is>
      </c>
      <c r="O195" s="9" t="inlineStr">
        <is>
          <t>unknown</t>
        </is>
      </c>
      <c r="P195" s="9" t="inlineStr"/>
      <c r="Q195" s="9" t="n">
        <v>0</v>
      </c>
      <c r="R195" s="59" t="inlineStr">
        <is>
          <t>For [name] good service attentive and on time</t>
        </is>
      </c>
      <c r="S195" s="9" t="inlineStr">
        <is>
          <t>praise</t>
        </is>
      </c>
      <c r="T195" s="9" t="inlineStr">
        <is>
          <t>praise</t>
        </is>
      </c>
      <c r="U195" s="59" t="inlineStr"/>
    </row>
    <row r="196">
      <c r="A196" s="9" t="n">
        <v>195</v>
      </c>
      <c r="B196" s="58" t="n">
        <v>46278</v>
      </c>
      <c r="C196" s="9" t="str">
        <f>TEXT(B196,"yyyy-mm")</f>
        <v>2026-09</v>
      </c>
      <c r="D196" s="9" t="n">
        <v>1</v>
      </c>
      <c r="E196" s="9" t="inlineStr">
        <is>
          <t>18.7.0</t>
        </is>
      </c>
      <c r="F196" s="59" t="inlineStr">
        <is>
          <t>Repeated unprofessional behaviour</t>
        </is>
      </c>
      <c r="G196" s="59" t="inlineStr">
        <is>
          <t>Hi Yes Madam Team,
I would like to formally raise a complaint again regarding an issue I have now faced for the fourth or fifth time.
Every time I make a booking, your professional staff call me afterwards and inform me that the selected service/product is unavailable and that I need to upgrade or choose an alternative. This time, I booked multiple services with [name], and she has again informed me that the Korean mask service cannot be provided.
I made this booking based on the ongoing Yes Madam offer/event, for which I paid ₹200 in advance with the understanding that I would receive ₹400 in my wallet and could use it towards my services.
It is extremely disappointing that this has happened repeatedly. I make these bookings after planning my time accordingly, and as a mother of a newborn, managing my time is already challenging. Repeatedly changing or cancelling services at the last moment is causing considerable inconvenience and mental stress.
I request you to refund my ₹200 directly to my original source of payment, and not to my Yes Madam wallet.
Please treat this as a formal complaint. If this issue happens again, I will have no option but to escalate the matter through the appropriate consumer forum, as this repeated practice is completely unacceptable.
I expect a prompt resolution and confirmation regarding my refund.</t>
        </is>
      </c>
      <c r="H196" s="9" t="inlineStr">
        <is>
          <t>product_fit</t>
        </is>
      </c>
      <c r="I196" s="9" t="inlineStr">
        <is>
          <t>missing_or_wrong_products</t>
        </is>
      </c>
      <c r="J196" s="9" t="inlineStr">
        <is>
          <t>payment_refund, partner_cancellation, price_clarity</t>
        </is>
      </c>
      <c r="K196" s="9" t="inlineStr">
        <is>
          <t>yes</t>
        </is>
      </c>
      <c r="L196" s="9" t="inlineStr">
        <is>
          <t>no</t>
        </is>
      </c>
      <c r="M196" s="9" t="inlineStr">
        <is>
          <t>high</t>
        </is>
      </c>
      <c r="N196" s="9" t="inlineStr">
        <is>
          <t>no</t>
        </is>
      </c>
      <c r="O196" s="9" t="inlineStr">
        <is>
          <t>multiple</t>
        </is>
      </c>
      <c r="P196" s="9" t="inlineStr"/>
      <c r="Q196" s="9" t="n">
        <v>200</v>
      </c>
      <c r="R196" s="59" t="inlineStr">
        <is>
          <t>your professional staff call me afterwards and inform me that the selected service/product is unavailable and that I need to upgrade or choose an alternative.</t>
        </is>
      </c>
      <c r="S196" s="9" t="inlineStr">
        <is>
          <t>product_fit</t>
        </is>
      </c>
      <c r="T196" s="9" t="inlineStr">
        <is>
          <t>product_fit</t>
        </is>
      </c>
      <c r="U196" s="59" t="inlineStr"/>
    </row>
    <row r="197">
      <c r="A197" s="9" t="n">
        <v>196</v>
      </c>
      <c r="B197" s="58" t="n">
        <v>46278</v>
      </c>
      <c r="C197" s="9" t="str">
        <f>TEXT(B197,"yyyy-mm")</f>
        <v>2026-09</v>
      </c>
      <c r="D197" s="9" t="n">
        <v>1</v>
      </c>
      <c r="E197" s="9" t="inlineStr">
        <is>
          <t>18.7.0</t>
        </is>
      </c>
      <c r="F197" s="59" t="inlineStr">
        <is>
          <t>Complain</t>
        </is>
      </c>
      <c r="G197" s="59" t="inlineStr">
        <is>
          <t>Yesmadam is wrost app i ever seen like bolte h free pedicure or 1s mai out of stock 
Wow pagal bnya 
Or saari serive itni mehngi</t>
        </is>
      </c>
      <c r="H197" s="9" t="inlineStr">
        <is>
          <t>price_clarity</t>
        </is>
      </c>
      <c r="I197" s="9" t="inlineStr">
        <is>
          <t>offer_not_honoured</t>
        </is>
      </c>
      <c r="J197" s="9" t="inlineStr"/>
      <c r="K197" s="9" t="inlineStr">
        <is>
          <t>no</t>
        </is>
      </c>
      <c r="L197" s="9" t="inlineStr">
        <is>
          <t>no</t>
        </is>
      </c>
      <c r="M197" s="9" t="inlineStr">
        <is>
          <t>low</t>
        </is>
      </c>
      <c r="N197" s="9" t="inlineStr">
        <is>
          <t>no</t>
        </is>
      </c>
      <c r="O197" s="9" t="inlineStr">
        <is>
          <t>mani_pedi</t>
        </is>
      </c>
      <c r="P197" s="9" t="inlineStr"/>
      <c r="Q197" s="9" t="n">
        <v>0</v>
      </c>
      <c r="R197" s="59" t="inlineStr">
        <is>
          <t>Yesmadam is wrost app i ever seen like bolte h free pedicure or 1s mai out of stock</t>
        </is>
      </c>
      <c r="S197" s="9" t="inlineStr">
        <is>
          <t>price_clarity</t>
        </is>
      </c>
      <c r="T197" s="9" t="inlineStr">
        <is>
          <t>price_clarity</t>
        </is>
      </c>
      <c r="U197" s="59" t="inlineStr"/>
    </row>
    <row r="198">
      <c r="A198" s="9" t="n">
        <v>197</v>
      </c>
      <c r="B198" s="58" t="n">
        <v>46277</v>
      </c>
      <c r="C198" s="9" t="str">
        <f>TEXT(B198,"yyyy-mm")</f>
        <v>2026-09</v>
      </c>
      <c r="D198" s="9" t="n">
        <v>5</v>
      </c>
      <c r="E198" s="9" t="inlineStr">
        <is>
          <t>18.7.0</t>
        </is>
      </c>
      <c r="F198" s="59" t="inlineStr">
        <is>
          <t>home service done my [name]</t>
        </is>
      </c>
      <c r="G198" s="59" t="inlineStr">
        <is>
          <t>it was my first time and it was very good and hygienic would recommend doing it from her</t>
        </is>
      </c>
      <c r="H198" s="9" t="inlineStr">
        <is>
          <t>praise</t>
        </is>
      </c>
      <c r="I198" s="9" t="inlineStr">
        <is>
          <t>praise_professional</t>
        </is>
      </c>
      <c r="J198" s="9" t="inlineStr"/>
      <c r="K198" s="9" t="inlineStr">
        <is>
          <t>no</t>
        </is>
      </c>
      <c r="L198" s="9" t="inlineStr">
        <is>
          <t>no</t>
        </is>
      </c>
      <c r="M198" s="9" t="inlineStr">
        <is>
          <t>none</t>
        </is>
      </c>
      <c r="N198" s="9" t="inlineStr">
        <is>
          <t>no</t>
        </is>
      </c>
      <c r="O198" s="9" t="inlineStr">
        <is>
          <t>unknown</t>
        </is>
      </c>
      <c r="P198" s="9" t="inlineStr"/>
      <c r="Q198" s="9" t="n">
        <v>0</v>
      </c>
      <c r="R198" s="59" t="inlineStr">
        <is>
          <t>it was my first time and it was very good and hygienic would recommend doing it from her</t>
        </is>
      </c>
      <c r="S198" s="9" t="inlineStr">
        <is>
          <t>praise</t>
        </is>
      </c>
      <c r="T198" s="9" t="inlineStr">
        <is>
          <t>praise</t>
        </is>
      </c>
      <c r="U198" s="59" t="inlineStr"/>
    </row>
    <row r="199">
      <c r="A199" s="9" t="n">
        <v>198</v>
      </c>
      <c r="B199" s="58" t="n">
        <v>46277</v>
      </c>
      <c r="C199" s="9" t="str">
        <f>TEXT(B199,"yyyy-mm")</f>
        <v>2026-09</v>
      </c>
      <c r="D199" s="9" t="n">
        <v>5</v>
      </c>
      <c r="E199" s="9" t="inlineStr">
        <is>
          <t>18.7.0</t>
        </is>
      </c>
      <c r="F199" s="59" t="inlineStr">
        <is>
          <t>Excellent app</t>
        </is>
      </c>
      <c r="G199" s="59" t="inlineStr">
        <is>
          <t>Mostly good professionals 👌😍</t>
        </is>
      </c>
      <c r="H199" s="9" t="inlineStr">
        <is>
          <t>praise</t>
        </is>
      </c>
      <c r="I199" s="9" t="inlineStr">
        <is>
          <t>praise_professional</t>
        </is>
      </c>
      <c r="J199" s="9" t="inlineStr"/>
      <c r="K199" s="9" t="inlineStr">
        <is>
          <t>no</t>
        </is>
      </c>
      <c r="L199" s="9" t="inlineStr">
        <is>
          <t>no</t>
        </is>
      </c>
      <c r="M199" s="9" t="inlineStr">
        <is>
          <t>none</t>
        </is>
      </c>
      <c r="N199" s="9" t="inlineStr">
        <is>
          <t>no</t>
        </is>
      </c>
      <c r="O199" s="9" t="inlineStr">
        <is>
          <t>unknown</t>
        </is>
      </c>
      <c r="P199" s="9" t="inlineStr"/>
      <c r="Q199" s="9" t="n">
        <v>0</v>
      </c>
      <c r="R199" s="59" t="inlineStr">
        <is>
          <t>Mostly good professionals</t>
        </is>
      </c>
      <c r="S199" s="9" t="inlineStr">
        <is>
          <t>praise</t>
        </is>
      </c>
      <c r="T199" s="9" t="inlineStr">
        <is>
          <t>praise</t>
        </is>
      </c>
      <c r="U199" s="59" t="inlineStr"/>
    </row>
    <row r="200">
      <c r="A200" s="9" t="n">
        <v>199</v>
      </c>
      <c r="B200" s="58" t="n">
        <v>46277</v>
      </c>
      <c r="C200" s="9" t="str">
        <f>TEXT(B200,"yyyy-mm")</f>
        <v>2026-09</v>
      </c>
      <c r="D200" s="9" t="n">
        <v>1</v>
      </c>
      <c r="E200" s="9" t="inlineStr">
        <is>
          <t>18.7.0</t>
        </is>
      </c>
      <c r="F200" s="59" t="inlineStr">
        <is>
          <t>Worst professionals</t>
        </is>
      </c>
      <c r="G200" s="59" t="inlineStr">
        <is>
          <t>I have always been using yes madam, however lately they have been cancelling each of the services 1 hour before the booking. Customer care is worse as they don’t provide timely solutions.</t>
        </is>
      </c>
      <c r="H200" s="9" t="inlineStr">
        <is>
          <t>partner_cancellation</t>
        </is>
      </c>
      <c r="I200" s="9" t="inlineStr">
        <is>
          <t>last_minute_cancel</t>
        </is>
      </c>
      <c r="J200" s="9" t="inlineStr">
        <is>
          <t>support</t>
        </is>
      </c>
      <c r="K200" s="9" t="inlineStr">
        <is>
          <t>yes</t>
        </is>
      </c>
      <c r="L200" s="9" t="inlineStr">
        <is>
          <t>yes</t>
        </is>
      </c>
      <c r="M200" s="9" t="inlineStr">
        <is>
          <t>medium</t>
        </is>
      </c>
      <c r="N200" s="9" t="inlineStr">
        <is>
          <t>no</t>
        </is>
      </c>
      <c r="O200" s="9" t="inlineStr">
        <is>
          <t>unknown</t>
        </is>
      </c>
      <c r="P200" s="9" t="inlineStr"/>
      <c r="Q200" s="9" t="n">
        <v>0</v>
      </c>
      <c r="R200" s="59" t="inlineStr">
        <is>
          <t>lately they have been cancelling each of the services 1 hour before the booking. Customer care is worse</t>
        </is>
      </c>
      <c r="S200" s="9" t="inlineStr">
        <is>
          <t>partner_cancellation</t>
        </is>
      </c>
      <c r="T200" s="9" t="inlineStr">
        <is>
          <t>partner_cancellation</t>
        </is>
      </c>
      <c r="U200" s="59" t="inlineStr"/>
    </row>
    <row r="201">
      <c r="A201" s="9" t="n">
        <v>200</v>
      </c>
      <c r="B201" s="58" t="n">
        <v>46277</v>
      </c>
      <c r="C201" s="9" t="str">
        <f>TEXT(B201,"yyyy-mm")</f>
        <v>2026-09</v>
      </c>
      <c r="D201" s="9" t="n">
        <v>1</v>
      </c>
      <c r="E201" s="9" t="inlineStr">
        <is>
          <t>18.7.0</t>
        </is>
      </c>
      <c r="F201" s="59" t="inlineStr">
        <is>
          <t>Faulty app - never book multisession</t>
        </is>
      </c>
      <c r="G201" s="59" t="inlineStr">
        <is>
          <t>I booked multisession package which marked as completed after one session and there is no way to connect to customer care. Send email and wait</t>
        </is>
      </c>
      <c r="H201" s="9" t="inlineStr">
        <is>
          <t>app</t>
        </is>
      </c>
      <c r="I201" s="9" t="inlineStr">
        <is>
          <t>booking_or_checkout_bug</t>
        </is>
      </c>
      <c r="J201" s="9" t="inlineStr">
        <is>
          <t>price_clarity, support</t>
        </is>
      </c>
      <c r="K201" s="9" t="inlineStr">
        <is>
          <t>yes</t>
        </is>
      </c>
      <c r="L201" s="9" t="inlineStr">
        <is>
          <t>yes</t>
        </is>
      </c>
      <c r="M201" s="9" t="inlineStr">
        <is>
          <t>high</t>
        </is>
      </c>
      <c r="N201" s="9" t="inlineStr">
        <is>
          <t>no</t>
        </is>
      </c>
      <c r="O201" s="9" t="inlineStr">
        <is>
          <t>unknown</t>
        </is>
      </c>
      <c r="P201" s="9" t="inlineStr"/>
      <c r="Q201" s="9" t="n">
        <v>0</v>
      </c>
      <c r="R201" s="59" t="inlineStr">
        <is>
          <t>I booked multisession package which marked as completed after one session and there is no way to connect to customer care.</t>
        </is>
      </c>
      <c r="S201" s="9" t="inlineStr">
        <is>
          <t>app</t>
        </is>
      </c>
      <c r="T201" s="9" t="inlineStr">
        <is>
          <t>app</t>
        </is>
      </c>
      <c r="U201" s="59" t="inlineStr"/>
    </row>
    <row r="202">
      <c r="A202" s="9" t="n">
        <v>201</v>
      </c>
      <c r="B202" s="58" t="n">
        <v>46277</v>
      </c>
      <c r="C202" s="9" t="str">
        <f>TEXT(B202,"yyyy-mm")</f>
        <v>2026-09</v>
      </c>
      <c r="D202" s="9" t="n">
        <v>1</v>
      </c>
      <c r="E202" s="9" t="inlineStr">
        <is>
          <t>18.7.0</t>
        </is>
      </c>
      <c r="F202" s="59" t="inlineStr">
        <is>
          <t>Inefficient Services</t>
        </is>
      </c>
      <c r="G202" s="59" t="inlineStr">
        <is>
          <t>I have tried booking two times with Yes Madam and both the time service provider denied to take the service on the schedule time and Yes Madam first do not give option to cancel it, they try to buy time ask to reschedule or if you deny then share with you that they are checking with professional if she can try to fulfil booking. Then another hour when your time is gone and you don't have any other option they will say that professional is not available.
This will kill your time your patience and you may not get the services on the time and day you have planned.</t>
        </is>
      </c>
      <c r="H202" s="9" t="inlineStr">
        <is>
          <t>partner_cancellation</t>
        </is>
      </c>
      <c r="I202" s="9" t="inlineStr">
        <is>
          <t>no_partner_available</t>
        </is>
      </c>
      <c r="J202" s="9" t="inlineStr"/>
      <c r="K202" s="9" t="inlineStr">
        <is>
          <t>no</t>
        </is>
      </c>
      <c r="L202" s="9" t="inlineStr">
        <is>
          <t>no</t>
        </is>
      </c>
      <c r="M202" s="9" t="inlineStr">
        <is>
          <t>medium</t>
        </is>
      </c>
      <c r="N202" s="9" t="inlineStr">
        <is>
          <t>no</t>
        </is>
      </c>
      <c r="O202" s="9" t="inlineStr">
        <is>
          <t>unknown</t>
        </is>
      </c>
      <c r="P202" s="9" t="inlineStr"/>
      <c r="Q202" s="9" t="n">
        <v>0</v>
      </c>
      <c r="R202" s="59" t="inlineStr">
        <is>
          <t>Then another hour when your time is gone and you don't have any other option they will say that professional is not available.</t>
        </is>
      </c>
      <c r="S202" s="9" t="inlineStr">
        <is>
          <t>partner_cancellation</t>
        </is>
      </c>
      <c r="T202" s="9" t="inlineStr">
        <is>
          <t>partner_cancellation</t>
        </is>
      </c>
      <c r="U202" s="59" t="inlineStr"/>
    </row>
    <row r="203">
      <c r="A203" s="9" t="n">
        <v>202</v>
      </c>
      <c r="B203" s="58" t="n">
        <v>46277</v>
      </c>
      <c r="C203" s="9" t="str">
        <f>TEXT(B203,"yyyy-mm")</f>
        <v>2026-09</v>
      </c>
      <c r="D203" s="9" t="n">
        <v>1</v>
      </c>
      <c r="E203" s="9" t="inlineStr">
        <is>
          <t>18.7.0</t>
        </is>
      </c>
      <c r="F203" s="59" t="inlineStr">
        <is>
          <t>FRAUD App</t>
        </is>
      </c>
      <c r="G203" s="59" t="inlineStr">
        <is>
          <t>Pedicure services were offered at zero price under their festive sale and when the sale went live, it showed sold out on their app. How is it possible that the service was sold out within a second of me choosing their free service? 
Never recommending this app to anybody. May your company collapse soon for playing such stupid marketing gimmicks to attract customers and attention.</t>
        </is>
      </c>
      <c r="H203" s="9" t="inlineStr">
        <is>
          <t>price_clarity</t>
        </is>
      </c>
      <c r="I203" s="9" t="inlineStr">
        <is>
          <t>offer_not_honoured</t>
        </is>
      </c>
      <c r="J203" s="9" t="inlineStr"/>
      <c r="K203" s="9" t="inlineStr">
        <is>
          <t>no</t>
        </is>
      </c>
      <c r="L203" s="9" t="inlineStr">
        <is>
          <t>no</t>
        </is>
      </c>
      <c r="M203" s="9" t="inlineStr">
        <is>
          <t>low</t>
        </is>
      </c>
      <c r="N203" s="9" t="inlineStr">
        <is>
          <t>no</t>
        </is>
      </c>
      <c r="O203" s="9" t="inlineStr">
        <is>
          <t>mani_pedi</t>
        </is>
      </c>
      <c r="P203" s="9" t="inlineStr"/>
      <c r="Q203" s="9" t="n">
        <v>0</v>
      </c>
      <c r="R203" s="59" t="inlineStr">
        <is>
          <t>Pedicure services were offered at zero price under their festive sale and when the sale went live, it showed sold out on their app.</t>
        </is>
      </c>
      <c r="S203" s="9" t="inlineStr">
        <is>
          <t>price_clarity</t>
        </is>
      </c>
      <c r="T203" s="9" t="inlineStr">
        <is>
          <t>price_clarity</t>
        </is>
      </c>
      <c r="U203" s="59" t="inlineStr"/>
    </row>
    <row r="204">
      <c r="A204" s="9" t="n">
        <v>203</v>
      </c>
      <c r="B204" s="58" t="n">
        <v>46276</v>
      </c>
      <c r="C204" s="9" t="str">
        <f>TEXT(B204,"yyyy-mm")</f>
        <v>2026-09</v>
      </c>
      <c r="D204" s="9" t="n">
        <v>4</v>
      </c>
      <c r="E204" s="9" t="inlineStr">
        <is>
          <t>18.7.0</t>
        </is>
      </c>
      <c r="F204" s="59" t="inlineStr">
        <is>
          <t>Very polite and decent</t>
        </is>
      </c>
      <c r="G204" s="59" t="inlineStr">
        <is>
          <t>Really like the service</t>
        </is>
      </c>
      <c r="H204" s="9" t="inlineStr">
        <is>
          <t>praise</t>
        </is>
      </c>
      <c r="I204" s="9" t="inlineStr">
        <is>
          <t>praise_professional</t>
        </is>
      </c>
      <c r="J204" s="9" t="inlineStr"/>
      <c r="K204" s="9" t="inlineStr">
        <is>
          <t>no</t>
        </is>
      </c>
      <c r="L204" s="9" t="inlineStr">
        <is>
          <t>no</t>
        </is>
      </c>
      <c r="M204" s="9" t="inlineStr">
        <is>
          <t>none</t>
        </is>
      </c>
      <c r="N204" s="9" t="inlineStr">
        <is>
          <t>no</t>
        </is>
      </c>
      <c r="O204" s="9" t="inlineStr">
        <is>
          <t>unknown</t>
        </is>
      </c>
      <c r="P204" s="9" t="inlineStr"/>
      <c r="Q204" s="9" t="n">
        <v>0</v>
      </c>
      <c r="R204" s="59" t="inlineStr">
        <is>
          <t>Very polite and decent Really like the service</t>
        </is>
      </c>
      <c r="S204" s="9" t="inlineStr">
        <is>
          <t>praise</t>
        </is>
      </c>
      <c r="T204" s="9" t="inlineStr">
        <is>
          <t>praise</t>
        </is>
      </c>
      <c r="U204" s="59" t="inlineStr"/>
    </row>
    <row r="205">
      <c r="A205" s="9" t="n">
        <v>204</v>
      </c>
      <c r="B205" s="58" t="n">
        <v>46275</v>
      </c>
      <c r="C205" s="9" t="str">
        <f>TEXT(B205,"yyyy-mm")</f>
        <v>2026-09</v>
      </c>
      <c r="D205" s="9" t="n">
        <v>4</v>
      </c>
      <c r="E205" s="9" t="inlineStr">
        <is>
          <t>18.7.0</t>
        </is>
      </c>
      <c r="F205" s="59" t="inlineStr">
        <is>
          <t>Beautician expert</t>
        </is>
      </c>
      <c r="G205" s="59" t="inlineStr">
        <is>
          <t>"I had a wonderful experience! The beautician was very polite, skilled, and understood exactly what my skin needed. The products used were high quality, and the parlor was clean and relaxing. Highly recommended for anyone looking for professional beauty services!"</t>
        </is>
      </c>
      <c r="H205" s="9" t="inlineStr">
        <is>
          <t>praise</t>
        </is>
      </c>
      <c r="I205" s="9" t="inlineStr">
        <is>
          <t>praise_professional</t>
        </is>
      </c>
      <c r="J205" s="9" t="inlineStr"/>
      <c r="K205" s="9" t="inlineStr">
        <is>
          <t>no</t>
        </is>
      </c>
      <c r="L205" s="9" t="inlineStr">
        <is>
          <t>no</t>
        </is>
      </c>
      <c r="M205" s="9" t="inlineStr">
        <is>
          <t>none</t>
        </is>
      </c>
      <c r="N205" s="9" t="inlineStr">
        <is>
          <t>no</t>
        </is>
      </c>
      <c r="O205" s="9" t="inlineStr">
        <is>
          <t>unknown</t>
        </is>
      </c>
      <c r="P205" s="9" t="inlineStr"/>
      <c r="Q205" s="9" t="n">
        <v>0</v>
      </c>
      <c r="R205" s="59" t="inlineStr">
        <is>
          <t>The beautician was very polite, skilled, and understood exactly what my skin needed.</t>
        </is>
      </c>
      <c r="S205" s="9" t="inlineStr">
        <is>
          <t>praise</t>
        </is>
      </c>
      <c r="T205" s="9" t="inlineStr">
        <is>
          <t>praise</t>
        </is>
      </c>
      <c r="U205" s="59" t="inlineStr"/>
    </row>
    <row r="206">
      <c r="A206" s="9" t="n">
        <v>205</v>
      </c>
      <c r="B206" s="58" t="n">
        <v>46275</v>
      </c>
      <c r="C206" s="9" t="str">
        <f>TEXT(B206,"yyyy-mm")</f>
        <v>2026-09</v>
      </c>
      <c r="D206" s="9" t="n">
        <v>5</v>
      </c>
      <c r="E206" s="9" t="inlineStr">
        <is>
          <t>18.7.0</t>
        </is>
      </c>
      <c r="F206" s="59" t="inlineStr">
        <is>
          <t>Good</t>
        </is>
      </c>
      <c r="G206" s="59" t="inlineStr">
        <is>
          <t>Good</t>
        </is>
      </c>
      <c r="H206" s="9" t="inlineStr">
        <is>
          <t>praise</t>
        </is>
      </c>
      <c r="I206" s="9" t="inlineStr">
        <is>
          <t>praise_service</t>
        </is>
      </c>
      <c r="J206" s="9" t="inlineStr"/>
      <c r="K206" s="9" t="inlineStr">
        <is>
          <t>no</t>
        </is>
      </c>
      <c r="L206" s="9" t="inlineStr">
        <is>
          <t>no</t>
        </is>
      </c>
      <c r="M206" s="9" t="inlineStr">
        <is>
          <t>none</t>
        </is>
      </c>
      <c r="N206" s="9" t="inlineStr">
        <is>
          <t>no</t>
        </is>
      </c>
      <c r="O206" s="9" t="inlineStr">
        <is>
          <t>unknown</t>
        </is>
      </c>
      <c r="P206" s="9" t="inlineStr"/>
      <c r="Q206" s="9" t="n">
        <v>0</v>
      </c>
      <c r="R206" s="59" t="inlineStr">
        <is>
          <t>Good</t>
        </is>
      </c>
      <c r="S206" s="9" t="inlineStr">
        <is>
          <t>praise</t>
        </is>
      </c>
      <c r="T206" s="9" t="inlineStr">
        <is>
          <t>praise</t>
        </is>
      </c>
      <c r="U206" s="59" t="inlineStr"/>
    </row>
    <row r="207">
      <c r="A207" s="9" t="n">
        <v>206</v>
      </c>
      <c r="B207" s="58" t="n">
        <v>46274</v>
      </c>
      <c r="C207" s="9" t="str">
        <f>TEXT(B207,"yyyy-mm")</f>
        <v>2026-09</v>
      </c>
      <c r="D207" s="9" t="n">
        <v>1</v>
      </c>
      <c r="E207" s="9" t="inlineStr">
        <is>
          <t>18.7.0</t>
        </is>
      </c>
      <c r="F207" s="59" t="inlineStr">
        <is>
          <t>Worst services do not even try this</t>
        </is>
      </c>
      <c r="G207" s="59" t="inlineStr">
        <is>
          <t>They are worst in providing services.. no time management.., no proper trained specialists, worst products.. plz use dome other app even u pay 100/- more but here u wont even feel like u have taken any salon services.. if u want services worth ur money plz dont use this app..</t>
        </is>
      </c>
      <c r="H207" s="9" t="inlineStr">
        <is>
          <t>service_quality</t>
        </is>
      </c>
      <c r="I207" s="9" t="inlineStr">
        <is>
          <t>poor_skill</t>
        </is>
      </c>
      <c r="J207" s="9" t="inlineStr">
        <is>
          <t>delay, product_fit</t>
        </is>
      </c>
      <c r="K207" s="9" t="inlineStr">
        <is>
          <t>no</t>
        </is>
      </c>
      <c r="L207" s="9" t="inlineStr">
        <is>
          <t>no</t>
        </is>
      </c>
      <c r="M207" s="9" t="inlineStr">
        <is>
          <t>medium</t>
        </is>
      </c>
      <c r="N207" s="9" t="inlineStr">
        <is>
          <t>no</t>
        </is>
      </c>
      <c r="O207" s="9" t="inlineStr">
        <is>
          <t>unknown</t>
        </is>
      </c>
      <c r="P207" s="9" t="inlineStr"/>
      <c r="Q207" s="9" t="n">
        <v>100</v>
      </c>
      <c r="R207" s="59" t="inlineStr">
        <is>
          <t>They are worst in providing services.. no time management.., no proper trained specialists, worst products..</t>
        </is>
      </c>
      <c r="S207" s="9" t="inlineStr">
        <is>
          <t>service_quality</t>
        </is>
      </c>
      <c r="T207" s="9" t="inlineStr">
        <is>
          <t>service_quality</t>
        </is>
      </c>
      <c r="U207" s="59" t="inlineStr"/>
    </row>
    <row r="208">
      <c r="A208" s="9" t="n">
        <v>207</v>
      </c>
      <c r="B208" s="58" t="n">
        <v>46274</v>
      </c>
      <c r="C208" s="9" t="str">
        <f>TEXT(B208,"yyyy-mm")</f>
        <v>2026-09</v>
      </c>
      <c r="D208" s="9" t="n">
        <v>1</v>
      </c>
      <c r="E208" s="9" t="inlineStr">
        <is>
          <t>18.7.0</t>
        </is>
      </c>
      <c r="F208" s="59" t="inlineStr">
        <is>
          <t>The discount lapsed</t>
        </is>
      </c>
      <c r="G208" s="59" t="inlineStr">
        <is>
          <t>The discount will be provided just like eye washer it will be lapsed in 10days or less
I tried calling YesMadam serval times to talk about this the ivr will never connect us there no means to give feedback to the company very poor customer service</t>
        </is>
      </c>
      <c r="H208" s="9" t="inlineStr">
        <is>
          <t>price_clarity</t>
        </is>
      </c>
      <c r="I208" s="9" t="inlineStr">
        <is>
          <t>offer_not_honoured</t>
        </is>
      </c>
      <c r="J208" s="9" t="inlineStr">
        <is>
          <t>support</t>
        </is>
      </c>
      <c r="K208" s="9" t="inlineStr">
        <is>
          <t>yes</t>
        </is>
      </c>
      <c r="L208" s="9" t="inlineStr">
        <is>
          <t>yes</t>
        </is>
      </c>
      <c r="M208" s="9" t="inlineStr">
        <is>
          <t>low</t>
        </is>
      </c>
      <c r="N208" s="9" t="inlineStr">
        <is>
          <t>no</t>
        </is>
      </c>
      <c r="O208" s="9" t="inlineStr">
        <is>
          <t>unknown</t>
        </is>
      </c>
      <c r="P208" s="9" t="inlineStr"/>
      <c r="Q208" s="9" t="n">
        <v>0</v>
      </c>
      <c r="R208" s="59" t="inlineStr">
        <is>
          <t>The discount will be provided just like eye washer it will be lapsed in 10days or less</t>
        </is>
      </c>
      <c r="S208" s="9" t="inlineStr">
        <is>
          <t>price_clarity</t>
        </is>
      </c>
      <c r="T208" s="9" t="inlineStr">
        <is>
          <t>price_clarity</t>
        </is>
      </c>
      <c r="U208" s="59" t="inlineStr"/>
    </row>
    <row r="209">
      <c r="A209" s="9" t="n">
        <v>208</v>
      </c>
      <c r="B209" s="58" t="n">
        <v>46274</v>
      </c>
      <c r="C209" s="9" t="str">
        <f>TEXT(B209,"yyyy-mm")</f>
        <v>2026-09</v>
      </c>
      <c r="D209" s="9" t="n">
        <v>5</v>
      </c>
      <c r="E209" s="9" t="inlineStr">
        <is>
          <t>18.7.0</t>
        </is>
      </c>
      <c r="F209" s="59" t="inlineStr">
        <is>
          <t>[name]</t>
        </is>
      </c>
      <c r="G209" s="59" t="inlineStr">
        <is>
          <t>Quality of service and Customer Satisfied</t>
        </is>
      </c>
      <c r="H209" s="9" t="inlineStr">
        <is>
          <t>praise</t>
        </is>
      </c>
      <c r="I209" s="9" t="inlineStr">
        <is>
          <t>praise_service</t>
        </is>
      </c>
      <c r="J209" s="9" t="inlineStr"/>
      <c r="K209" s="9" t="inlineStr">
        <is>
          <t>no</t>
        </is>
      </c>
      <c r="L209" s="9" t="inlineStr">
        <is>
          <t>no</t>
        </is>
      </c>
      <c r="M209" s="9" t="inlineStr">
        <is>
          <t>none</t>
        </is>
      </c>
      <c r="N209" s="9" t="inlineStr">
        <is>
          <t>no</t>
        </is>
      </c>
      <c r="O209" s="9" t="inlineStr">
        <is>
          <t>unknown</t>
        </is>
      </c>
      <c r="P209" s="9" t="inlineStr"/>
      <c r="Q209" s="9" t="n">
        <v>0</v>
      </c>
      <c r="R209" s="59" t="inlineStr">
        <is>
          <t>Quality of service and Customer Satisfied</t>
        </is>
      </c>
      <c r="S209" s="9" t="inlineStr">
        <is>
          <t>praise</t>
        </is>
      </c>
      <c r="T209" s="9" t="inlineStr">
        <is>
          <t>praise</t>
        </is>
      </c>
      <c r="U209" s="59" t="inlineStr"/>
    </row>
    <row r="210">
      <c r="A210" s="9" t="n">
        <v>209</v>
      </c>
      <c r="B210" s="58" t="n">
        <v>46274</v>
      </c>
      <c r="C210" s="9" t="str">
        <f>TEXT(B210,"yyyy-mm")</f>
        <v>2026-09</v>
      </c>
      <c r="D210" s="9" t="n">
        <v>5</v>
      </c>
      <c r="E210" s="9" t="inlineStr">
        <is>
          <t>18.7.0</t>
        </is>
      </c>
      <c r="F210" s="59" t="inlineStr">
        <is>
          <t>Review</t>
        </is>
      </c>
      <c r="G210" s="59" t="inlineStr">
        <is>
          <t>Service was good, but one suggestion, please avoid pushing customers to add extra services. It was a bit disappointing.
Otherwise, I was satisfied with the overall service.</t>
        </is>
      </c>
      <c r="H210" s="9" t="inlineStr">
        <is>
          <t>product_fit</t>
        </is>
      </c>
      <c r="I210" s="9" t="inlineStr">
        <is>
          <t>product_upsell</t>
        </is>
      </c>
      <c r="J210" s="9" t="inlineStr"/>
      <c r="K210" s="9" t="inlineStr">
        <is>
          <t>no</t>
        </is>
      </c>
      <c r="L210" s="9" t="inlineStr">
        <is>
          <t>no</t>
        </is>
      </c>
      <c r="M210" s="9" t="inlineStr">
        <is>
          <t>low</t>
        </is>
      </c>
      <c r="N210" s="9" t="inlineStr">
        <is>
          <t>no</t>
        </is>
      </c>
      <c r="O210" s="9" t="inlineStr">
        <is>
          <t>unknown</t>
        </is>
      </c>
      <c r="P210" s="9" t="inlineStr"/>
      <c r="Q210" s="9" t="n">
        <v>0</v>
      </c>
      <c r="R210" s="59" t="inlineStr">
        <is>
          <t>please avoid pushing customers to add extra services. It was a bit disappointing.</t>
        </is>
      </c>
      <c r="S210" s="9" t="inlineStr">
        <is>
          <t>product_fit</t>
        </is>
      </c>
      <c r="T210" s="9" t="inlineStr">
        <is>
          <t>product_fit</t>
        </is>
      </c>
      <c r="U210" s="59" t="inlineStr"/>
    </row>
    <row r="211">
      <c r="A211" s="9" t="n">
        <v>210</v>
      </c>
      <c r="B211" s="58" t="n">
        <v>46274</v>
      </c>
      <c r="C211" s="9" t="str">
        <f>TEXT(B211,"yyyy-mm")</f>
        <v>2026-09</v>
      </c>
      <c r="D211" s="9" t="n">
        <v>3</v>
      </c>
      <c r="E211" s="9" t="inlineStr">
        <is>
          <t>18.7.0</t>
        </is>
      </c>
      <c r="F211" s="59" t="inlineStr">
        <is>
          <t>Service claritication</t>
        </is>
      </c>
      <c r="G211" s="59" t="inlineStr">
        <is>
          <t>The service facility should tell the customer what actual servives are included in the package because upon arrival ww argue with the person that what so ever is included and it really spoils the mood of a customer. Things should be transparent.</t>
        </is>
      </c>
      <c r="H211" s="9" t="inlineStr">
        <is>
          <t>price_clarity</t>
        </is>
      </c>
      <c r="I211" s="9" t="inlineStr">
        <is>
          <t>membership_or_package_confusion</t>
        </is>
      </c>
      <c r="J211" s="9" t="inlineStr"/>
      <c r="K211" s="9" t="inlineStr">
        <is>
          <t>no</t>
        </is>
      </c>
      <c r="L211" s="9" t="inlineStr">
        <is>
          <t>no</t>
        </is>
      </c>
      <c r="M211" s="9" t="inlineStr">
        <is>
          <t>low</t>
        </is>
      </c>
      <c r="N211" s="9" t="inlineStr">
        <is>
          <t>no</t>
        </is>
      </c>
      <c r="O211" s="9" t="inlineStr">
        <is>
          <t>unknown</t>
        </is>
      </c>
      <c r="P211" s="9" t="inlineStr"/>
      <c r="Q211" s="9" t="n">
        <v>0</v>
      </c>
      <c r="R211" s="59" t="inlineStr">
        <is>
          <t>The service facility should tell the customer what actual servives are included in the package</t>
        </is>
      </c>
      <c r="S211" s="9" t="inlineStr">
        <is>
          <t>price_clarity</t>
        </is>
      </c>
      <c r="T211" s="9" t="inlineStr">
        <is>
          <t>price_clarity</t>
        </is>
      </c>
      <c r="U211" s="59" t="inlineStr"/>
    </row>
    <row r="212">
      <c r="A212" s="9" t="n">
        <v>211</v>
      </c>
      <c r="B212" s="58" t="n">
        <v>46274</v>
      </c>
      <c r="C212" s="9" t="str">
        <f>TEXT(B212,"yyyy-mm")</f>
        <v>2026-09</v>
      </c>
      <c r="D212" s="9" t="n">
        <v>5</v>
      </c>
      <c r="E212" s="9" t="inlineStr">
        <is>
          <t>18.7.0</t>
        </is>
      </c>
      <c r="F212" s="59" t="inlineStr">
        <is>
          <t>Love</t>
        </is>
      </c>
      <c r="G212" s="59" t="inlineStr">
        <is>
          <t>I can pampered my self</t>
        </is>
      </c>
      <c r="H212" s="9" t="inlineStr">
        <is>
          <t>praise</t>
        </is>
      </c>
      <c r="I212" s="9" t="inlineStr">
        <is>
          <t>praise_service</t>
        </is>
      </c>
      <c r="J212" s="9" t="inlineStr"/>
      <c r="K212" s="9" t="inlineStr">
        <is>
          <t>no</t>
        </is>
      </c>
      <c r="L212" s="9" t="inlineStr">
        <is>
          <t>no</t>
        </is>
      </c>
      <c r="M212" s="9" t="inlineStr">
        <is>
          <t>none</t>
        </is>
      </c>
      <c r="N212" s="9" t="inlineStr">
        <is>
          <t>no</t>
        </is>
      </c>
      <c r="O212" s="9" t="inlineStr">
        <is>
          <t>unknown</t>
        </is>
      </c>
      <c r="P212" s="9" t="inlineStr"/>
      <c r="Q212" s="9" t="n">
        <v>0</v>
      </c>
      <c r="R212" s="59" t="inlineStr">
        <is>
          <t>I can pampered my self</t>
        </is>
      </c>
      <c r="S212" s="9" t="inlineStr">
        <is>
          <t>praise</t>
        </is>
      </c>
      <c r="T212" s="9" t="inlineStr">
        <is>
          <t>praise</t>
        </is>
      </c>
      <c r="U212" s="59" t="inlineStr"/>
    </row>
    <row r="213">
      <c r="A213" s="9" t="n">
        <v>212</v>
      </c>
      <c r="B213" s="58" t="n">
        <v>46273</v>
      </c>
      <c r="C213" s="9" t="str">
        <f>TEXT(B213,"yyyy-mm")</f>
        <v>2026-09</v>
      </c>
      <c r="D213" s="9" t="n">
        <v>5</v>
      </c>
      <c r="E213" s="9" t="inlineStr">
        <is>
          <t>18.7.0</t>
        </is>
      </c>
      <c r="F213" s="59" t="inlineStr">
        <is>
          <t>Excellent</t>
        </is>
      </c>
      <c r="G213" s="59" t="inlineStr">
        <is>
          <t>Professional</t>
        </is>
      </c>
      <c r="H213" s="9" t="inlineStr">
        <is>
          <t>praise</t>
        </is>
      </c>
      <c r="I213" s="9" t="inlineStr">
        <is>
          <t>praise_professional</t>
        </is>
      </c>
      <c r="J213" s="9" t="inlineStr"/>
      <c r="K213" s="9" t="inlineStr">
        <is>
          <t>no</t>
        </is>
      </c>
      <c r="L213" s="9" t="inlineStr">
        <is>
          <t>no</t>
        </is>
      </c>
      <c r="M213" s="9" t="inlineStr">
        <is>
          <t>none</t>
        </is>
      </c>
      <c r="N213" s="9" t="inlineStr">
        <is>
          <t>no</t>
        </is>
      </c>
      <c r="O213" s="9" t="inlineStr">
        <is>
          <t>unknown</t>
        </is>
      </c>
      <c r="P213" s="9" t="inlineStr"/>
      <c r="Q213" s="9" t="n">
        <v>0</v>
      </c>
      <c r="R213" s="59" t="inlineStr">
        <is>
          <t>Excellent Professional</t>
        </is>
      </c>
      <c r="S213" s="9" t="inlineStr">
        <is>
          <t>praise</t>
        </is>
      </c>
      <c r="T213" s="9" t="inlineStr">
        <is>
          <t>praise</t>
        </is>
      </c>
      <c r="U213" s="59" t="inlineStr"/>
    </row>
    <row r="214">
      <c r="A214" s="9" t="n">
        <v>213</v>
      </c>
      <c r="B214" s="58" t="n">
        <v>46273</v>
      </c>
      <c r="C214" s="9" t="str">
        <f>TEXT(B214,"yyyy-mm")</f>
        <v>2026-09</v>
      </c>
      <c r="D214" s="9" t="n">
        <v>5</v>
      </c>
      <c r="E214" s="9" t="inlineStr">
        <is>
          <t>18.7.0</t>
        </is>
      </c>
      <c r="F214" s="59" t="inlineStr">
        <is>
          <t>[name]</t>
        </is>
      </c>
      <c r="G214" s="59" t="inlineStr">
        <is>
          <t>Outstanding service, very kind</t>
        </is>
      </c>
      <c r="H214" s="9" t="inlineStr">
        <is>
          <t>praise</t>
        </is>
      </c>
      <c r="I214" s="9" t="inlineStr">
        <is>
          <t>praise_professional</t>
        </is>
      </c>
      <c r="J214" s="9" t="inlineStr"/>
      <c r="K214" s="9" t="inlineStr">
        <is>
          <t>no</t>
        </is>
      </c>
      <c r="L214" s="9" t="inlineStr">
        <is>
          <t>no</t>
        </is>
      </c>
      <c r="M214" s="9" t="inlineStr">
        <is>
          <t>none</t>
        </is>
      </c>
      <c r="N214" s="9" t="inlineStr">
        <is>
          <t>no</t>
        </is>
      </c>
      <c r="O214" s="9" t="inlineStr">
        <is>
          <t>unknown</t>
        </is>
      </c>
      <c r="P214" s="9" t="inlineStr"/>
      <c r="Q214" s="9" t="n">
        <v>0</v>
      </c>
      <c r="R214" s="59" t="inlineStr">
        <is>
          <t>Outstanding service, very kind</t>
        </is>
      </c>
      <c r="S214" s="9" t="inlineStr">
        <is>
          <t>praise</t>
        </is>
      </c>
      <c r="T214" s="9" t="inlineStr">
        <is>
          <t>praise</t>
        </is>
      </c>
      <c r="U214" s="59" t="inlineStr"/>
    </row>
    <row r="215">
      <c r="A215" s="9" t="n">
        <v>214</v>
      </c>
      <c r="B215" s="58" t="n">
        <v>46273</v>
      </c>
      <c r="C215" s="9" t="str">
        <f>TEXT(B215,"yyyy-mm")</f>
        <v>2026-09</v>
      </c>
      <c r="D215" s="9" t="n">
        <v>5</v>
      </c>
      <c r="E215" s="9" t="inlineStr">
        <is>
          <t>18.7.0</t>
        </is>
      </c>
      <c r="F215" s="59" t="inlineStr">
        <is>
          <t>Good</t>
        </is>
      </c>
      <c r="G215" s="59" t="inlineStr">
        <is>
          <t>Excellent service</t>
        </is>
      </c>
      <c r="H215" s="9" t="inlineStr">
        <is>
          <t>praise</t>
        </is>
      </c>
      <c r="I215" s="9" t="inlineStr">
        <is>
          <t>praise_service</t>
        </is>
      </c>
      <c r="J215" s="9" t="inlineStr"/>
      <c r="K215" s="9" t="inlineStr">
        <is>
          <t>no</t>
        </is>
      </c>
      <c r="L215" s="9" t="inlineStr">
        <is>
          <t>no</t>
        </is>
      </c>
      <c r="M215" s="9" t="inlineStr">
        <is>
          <t>none</t>
        </is>
      </c>
      <c r="N215" s="9" t="inlineStr">
        <is>
          <t>no</t>
        </is>
      </c>
      <c r="O215" s="9" t="inlineStr">
        <is>
          <t>unknown</t>
        </is>
      </c>
      <c r="P215" s="9" t="inlineStr"/>
      <c r="Q215" s="9" t="n">
        <v>0</v>
      </c>
      <c r="R215" s="59" t="inlineStr">
        <is>
          <t>Excellent service</t>
        </is>
      </c>
      <c r="S215" s="9" t="inlineStr">
        <is>
          <t>praise</t>
        </is>
      </c>
      <c r="T215" s="9" t="inlineStr">
        <is>
          <t>praise</t>
        </is>
      </c>
      <c r="U215" s="59" t="inlineStr"/>
    </row>
    <row r="216">
      <c r="A216" s="9" t="n">
        <v>215</v>
      </c>
      <c r="B216" s="58" t="n">
        <v>46272</v>
      </c>
      <c r="C216" s="9" t="str">
        <f>TEXT(B216,"yyyy-mm")</f>
        <v>2026-09</v>
      </c>
      <c r="D216" s="9" t="n">
        <v>5</v>
      </c>
      <c r="E216" s="9" t="inlineStr">
        <is>
          <t>18.7.0</t>
        </is>
      </c>
      <c r="F216" s="59" t="inlineStr">
        <is>
          <t>Hydra facial</t>
        </is>
      </c>
      <c r="G216" s="59" t="inlineStr">
        <is>
          <t>Soo good results..</t>
        </is>
      </c>
      <c r="H216" s="9" t="inlineStr">
        <is>
          <t>praise</t>
        </is>
      </c>
      <c r="I216" s="9" t="inlineStr">
        <is>
          <t>praise_service</t>
        </is>
      </c>
      <c r="J216" s="9" t="inlineStr"/>
      <c r="K216" s="9" t="inlineStr">
        <is>
          <t>no</t>
        </is>
      </c>
      <c r="L216" s="9" t="inlineStr">
        <is>
          <t>no</t>
        </is>
      </c>
      <c r="M216" s="9" t="inlineStr">
        <is>
          <t>none</t>
        </is>
      </c>
      <c r="N216" s="9" t="inlineStr">
        <is>
          <t>no</t>
        </is>
      </c>
      <c r="O216" s="9" t="inlineStr">
        <is>
          <t>facial_cleanup</t>
        </is>
      </c>
      <c r="P216" s="9" t="inlineStr"/>
      <c r="Q216" s="9" t="n">
        <v>0</v>
      </c>
      <c r="R216" s="59" t="inlineStr">
        <is>
          <t>Hydra facial Soo good results..</t>
        </is>
      </c>
      <c r="S216" s="9" t="inlineStr">
        <is>
          <t>praise</t>
        </is>
      </c>
      <c r="T216" s="9" t="inlineStr">
        <is>
          <t>praise</t>
        </is>
      </c>
      <c r="U216" s="59" t="inlineStr"/>
    </row>
    <row r="217">
      <c r="A217" s="9" t="n">
        <v>216</v>
      </c>
      <c r="B217" s="58" t="n">
        <v>46272</v>
      </c>
      <c r="C217" s="9" t="str">
        <f>TEXT(B217,"yyyy-mm")</f>
        <v>2026-09</v>
      </c>
      <c r="D217" s="9" t="n">
        <v>1</v>
      </c>
      <c r="E217" s="9" t="inlineStr">
        <is>
          <t>18.7.0</t>
        </is>
      </c>
      <c r="F217" s="59" t="inlineStr">
        <is>
          <t>Worst customer service and app experience</t>
        </is>
      </c>
      <c r="G217" s="59" t="inlineStr">
        <is>
          <t>Worst customer service and the app experience ever It was written that the rescheduled of an appointment was free. then I was charged even more and when I reached out to the customer support, they said I’d be getting the refund on my UPI and I also shared the UPI with them then again after following up, they are saying It has already been created to your wallet. Then I asked why then they say no, okay, we will proceed your refund on upi. They are very reluctant and the executives dont give a damn about customers</t>
        </is>
      </c>
      <c r="H217" s="9" t="inlineStr">
        <is>
          <t>payment_refund</t>
        </is>
      </c>
      <c r="I217" s="9" t="inlineStr">
        <is>
          <t>refund_delayed</t>
        </is>
      </c>
      <c r="J217" s="9" t="inlineStr">
        <is>
          <t>price_clarity, support</t>
        </is>
      </c>
      <c r="K217" s="9" t="inlineStr">
        <is>
          <t>yes</t>
        </is>
      </c>
      <c r="L217" s="9" t="inlineStr">
        <is>
          <t>yes</t>
        </is>
      </c>
      <c r="M217" s="9" t="inlineStr">
        <is>
          <t>high</t>
        </is>
      </c>
      <c r="N217" s="9" t="inlineStr">
        <is>
          <t>no</t>
        </is>
      </c>
      <c r="O217" s="9" t="inlineStr">
        <is>
          <t>unknown</t>
        </is>
      </c>
      <c r="P217" s="9" t="inlineStr"/>
      <c r="Q217" s="9" t="n">
        <v>0</v>
      </c>
      <c r="R217" s="59" t="inlineStr">
        <is>
          <t>they said I’d be getting the refund on my UPI and I also shared the UPI with them</t>
        </is>
      </c>
      <c r="S217" s="9" t="inlineStr">
        <is>
          <t>payment_refund</t>
        </is>
      </c>
      <c r="T217" s="9" t="inlineStr">
        <is>
          <t>payment_refund</t>
        </is>
      </c>
      <c r="U217" s="59" t="inlineStr"/>
    </row>
    <row r="218">
      <c r="A218" s="9" t="n">
        <v>217</v>
      </c>
      <c r="B218" s="58" t="n">
        <v>46272</v>
      </c>
      <c r="C218" s="9" t="str">
        <f>TEXT(B218,"yyyy-mm")</f>
        <v>2026-09</v>
      </c>
      <c r="D218" s="9" t="n">
        <v>1</v>
      </c>
      <c r="E218" s="9" t="inlineStr">
        <is>
          <t>18.7.0</t>
        </is>
      </c>
      <c r="F218" s="59" t="inlineStr">
        <is>
          <t>Pathetic service</t>
        </is>
      </c>
      <c r="G218" s="59" t="inlineStr">
        <is>
          <t>I have done their expensive Korean waxing and after that, my hand and my leg got burned. I have sent them my pictures. I have reached a complain about one week ago, but they are not responding. They are very pathetic people. They are very pathetic at their work. They are very very very bad people. I do not recommend this app. This is very very very shameful. They have seen my picture also my hand and my burn leg, but they are doing nothing. This is very bad.</t>
        </is>
      </c>
      <c r="H218" s="9" t="inlineStr">
        <is>
          <t>service_quality</t>
        </is>
      </c>
      <c r="I218" s="9" t="inlineStr">
        <is>
          <t>skin_injury_or_reaction</t>
        </is>
      </c>
      <c r="J218" s="9" t="inlineStr">
        <is>
          <t>support</t>
        </is>
      </c>
      <c r="K218" s="9" t="inlineStr">
        <is>
          <t>yes</t>
        </is>
      </c>
      <c r="L218" s="9" t="inlineStr">
        <is>
          <t>yes</t>
        </is>
      </c>
      <c r="M218" s="9" t="inlineStr">
        <is>
          <t>high</t>
        </is>
      </c>
      <c r="N218" s="9" t="inlineStr">
        <is>
          <t>no</t>
        </is>
      </c>
      <c r="O218" s="9" t="inlineStr">
        <is>
          <t>waxing</t>
        </is>
      </c>
      <c r="P218" s="9" t="inlineStr"/>
      <c r="Q218" s="9" t="n">
        <v>0</v>
      </c>
      <c r="R218" s="59" t="inlineStr">
        <is>
          <t>I have done their expensive Korean waxing and after that, my hand and my leg got burned.</t>
        </is>
      </c>
      <c r="S218" s="9" t="inlineStr">
        <is>
          <t>service_quality</t>
        </is>
      </c>
      <c r="T218" s="9" t="inlineStr">
        <is>
          <t>service_quality</t>
        </is>
      </c>
      <c r="U218" s="59" t="inlineStr"/>
    </row>
    <row r="219">
      <c r="A219" s="9" t="n">
        <v>218</v>
      </c>
      <c r="B219" s="58" t="n">
        <v>46271</v>
      </c>
      <c r="C219" s="9" t="str">
        <f>TEXT(B219,"yyyy-mm")</f>
        <v>2026-09</v>
      </c>
      <c r="D219" s="9" t="n">
        <v>1</v>
      </c>
      <c r="E219" s="9" t="inlineStr">
        <is>
          <t>18.7.0</t>
        </is>
      </c>
      <c r="F219" s="59" t="inlineStr">
        <is>
          <t>Fraud and Cheating</t>
        </is>
      </c>
      <c r="G219" s="59" t="inlineStr">
        <is>
          <t>Don’t ever pay them in advance. Many times they will not send person and also not return your money. Many times professionals are local hair cutting saloon person doing all kind of facials.</t>
        </is>
      </c>
      <c r="H219" s="9" t="inlineStr">
        <is>
          <t>payment_refund</t>
        </is>
      </c>
      <c r="I219" s="9" t="inlineStr">
        <is>
          <t>charged_not_served</t>
        </is>
      </c>
      <c r="J219" s="9" t="inlineStr">
        <is>
          <t>partner_cancellation, service_quality</t>
        </is>
      </c>
      <c r="K219" s="9" t="inlineStr">
        <is>
          <t>no</t>
        </is>
      </c>
      <c r="L219" s="9" t="inlineStr">
        <is>
          <t>no</t>
        </is>
      </c>
      <c r="M219" s="9" t="inlineStr">
        <is>
          <t>high</t>
        </is>
      </c>
      <c r="N219" s="9" t="inlineStr">
        <is>
          <t>no</t>
        </is>
      </c>
      <c r="O219" s="9" t="inlineStr">
        <is>
          <t>facial_cleanup</t>
        </is>
      </c>
      <c r="P219" s="9" t="inlineStr"/>
      <c r="Q219" s="9" t="n">
        <v>0</v>
      </c>
      <c r="R219" s="59" t="inlineStr">
        <is>
          <t>Many times they will not send person and also not return your money.</t>
        </is>
      </c>
      <c r="S219" s="9" t="inlineStr">
        <is>
          <t>payment_refund</t>
        </is>
      </c>
      <c r="T219" s="9" t="inlineStr">
        <is>
          <t>payment_refund</t>
        </is>
      </c>
      <c r="U219" s="59" t="inlineStr"/>
    </row>
    <row r="220">
      <c r="A220" s="9" t="n">
        <v>219</v>
      </c>
      <c r="B220" s="58" t="n">
        <v>46270</v>
      </c>
      <c r="C220" s="9" t="str">
        <f>TEXT(B220,"yyyy-mm")</f>
        <v>2026-09</v>
      </c>
      <c r="D220" s="9" t="n">
        <v>1</v>
      </c>
      <c r="E220" s="9" t="inlineStr">
        <is>
          <t>18.7.0</t>
        </is>
      </c>
      <c r="F220" s="59" t="inlineStr">
        <is>
          <t>Always a bad experience</t>
        </is>
      </c>
      <c r="G220" s="59" t="inlineStr">
        <is>
          <t>Whenever I tried this app for booking any service I am always disappointed. Today also I booked for pedi and meni , professional refused to come and asked me to cancel and when I told her u cancel she kept calling me till I cancelled it. This is not the first time it happened. I would tell urban company is excellent when compared to yes madam and they are very professional than yes madam. One star is also too much for them. They should be negatively marked. This is my honest opinion after failing to get a good service from them.</t>
        </is>
      </c>
      <c r="H220" s="9" t="inlineStr">
        <is>
          <t>partner_cancellation</t>
        </is>
      </c>
      <c r="I220" s="9" t="inlineStr">
        <is>
          <t>last_minute_cancel</t>
        </is>
      </c>
      <c r="J220" s="9" t="inlineStr"/>
      <c r="K220" s="9" t="inlineStr">
        <is>
          <t>no</t>
        </is>
      </c>
      <c r="L220" s="9" t="inlineStr">
        <is>
          <t>no</t>
        </is>
      </c>
      <c r="M220" s="9" t="inlineStr">
        <is>
          <t>medium</t>
        </is>
      </c>
      <c r="N220" s="9" t="inlineStr">
        <is>
          <t>no</t>
        </is>
      </c>
      <c r="O220" s="9" t="inlineStr">
        <is>
          <t>mani_pedi</t>
        </is>
      </c>
      <c r="P220" s="9" t="inlineStr"/>
      <c r="Q220" s="9" t="n">
        <v>0</v>
      </c>
      <c r="R220" s="59" t="inlineStr">
        <is>
          <t>professional refused to come and asked me to cancel and when I told her u cancel she kept calling me till I cancelled it.</t>
        </is>
      </c>
      <c r="S220" s="9" t="inlineStr">
        <is>
          <t>partner_cancellation</t>
        </is>
      </c>
      <c r="T220" s="9" t="inlineStr">
        <is>
          <t>partner_cancellation</t>
        </is>
      </c>
      <c r="U220" s="59" t="inlineStr"/>
    </row>
    <row r="221">
      <c r="A221" s="9" t="n">
        <v>220</v>
      </c>
      <c r="B221" s="58" t="n">
        <v>46270</v>
      </c>
      <c r="C221" s="9" t="str">
        <f>TEXT(B221,"yyyy-mm")</f>
        <v>2026-09</v>
      </c>
      <c r="D221" s="9" t="n">
        <v>1</v>
      </c>
      <c r="E221" s="9" t="inlineStr">
        <is>
          <t>18.7.0</t>
        </is>
      </c>
      <c r="F221" s="59" t="inlineStr">
        <is>
          <t>Fully booked for the next 7 days</t>
        </is>
      </c>
      <c r="G221" s="59" t="inlineStr">
        <is>
          <t>I was looking to book waxing for home from the past two weeks and the only thing I keep seeing that “we’re fully booked for the next 7 days”.
I checked yesterday at 11 in the night and immediately today in the morning. Same thing.
How can the slots be filled so fast and how come there’s not even a single slot available even on working days in these 2 weeks?? Why even have the damn wallet balance when I can’t even use it?
I was genuinely happy with my first and only yesmadam experience more than a month. But am not able to book any sessions from then.
Thank you Yesmadam! For absolutely ruining it for me!</t>
        </is>
      </c>
      <c r="H221" s="9" t="inlineStr">
        <is>
          <t>app</t>
        </is>
      </c>
      <c r="I221" s="9" t="inlineStr">
        <is>
          <t>slots_unavailable</t>
        </is>
      </c>
      <c r="J221" s="9" t="inlineStr">
        <is>
          <t>payment_refund</t>
        </is>
      </c>
      <c r="K221" s="9" t="inlineStr">
        <is>
          <t>no</t>
        </is>
      </c>
      <c r="L221" s="9" t="inlineStr">
        <is>
          <t>no</t>
        </is>
      </c>
      <c r="M221" s="9" t="inlineStr">
        <is>
          <t>medium</t>
        </is>
      </c>
      <c r="N221" s="9" t="inlineStr">
        <is>
          <t>no</t>
        </is>
      </c>
      <c r="O221" s="9" t="inlineStr">
        <is>
          <t>waxing</t>
        </is>
      </c>
      <c r="P221" s="9" t="inlineStr"/>
      <c r="Q221" s="9" t="n">
        <v>0</v>
      </c>
      <c r="R221" s="59" t="inlineStr">
        <is>
          <t>the only thing I keep seeing that “we’re fully booked for the next 7 days”.</t>
        </is>
      </c>
      <c r="S221" s="9" t="inlineStr">
        <is>
          <t>app</t>
        </is>
      </c>
      <c r="T221" s="9" t="inlineStr">
        <is>
          <t>app</t>
        </is>
      </c>
      <c r="U221" s="59" t="inlineStr"/>
    </row>
    <row r="222">
      <c r="A222" s="9" t="n">
        <v>221</v>
      </c>
      <c r="B222" s="58" t="n">
        <v>46270</v>
      </c>
      <c r="C222" s="9" t="str">
        <f>TEXT(B222,"yyyy-mm")</f>
        <v>2026-09</v>
      </c>
      <c r="D222" s="9" t="n">
        <v>5</v>
      </c>
      <c r="E222" s="9" t="inlineStr">
        <is>
          <t>18.7.0</t>
        </is>
      </c>
      <c r="F222" s="59" t="inlineStr">
        <is>
          <t>Experts behaviour was too gud</t>
        </is>
      </c>
      <c r="G222" s="59" t="inlineStr">
        <is>
          <t>Very gud service provided</t>
        </is>
      </c>
      <c r="H222" s="9" t="inlineStr">
        <is>
          <t>praise</t>
        </is>
      </c>
      <c r="I222" s="9" t="inlineStr">
        <is>
          <t>praise_professional</t>
        </is>
      </c>
      <c r="J222" s="9" t="inlineStr"/>
      <c r="K222" s="9" t="inlineStr">
        <is>
          <t>no</t>
        </is>
      </c>
      <c r="L222" s="9" t="inlineStr">
        <is>
          <t>no</t>
        </is>
      </c>
      <c r="M222" s="9" t="inlineStr">
        <is>
          <t>none</t>
        </is>
      </c>
      <c r="N222" s="9" t="inlineStr">
        <is>
          <t>no</t>
        </is>
      </c>
      <c r="O222" s="9" t="inlineStr">
        <is>
          <t>unknown</t>
        </is>
      </c>
      <c r="P222" s="9" t="inlineStr"/>
      <c r="Q222" s="9" t="n">
        <v>0</v>
      </c>
      <c r="R222" s="59" t="inlineStr">
        <is>
          <t>Experts behaviour was too gud Very gud service provided</t>
        </is>
      </c>
      <c r="S222" s="9" t="inlineStr">
        <is>
          <t>praise</t>
        </is>
      </c>
      <c r="T222" s="9" t="inlineStr">
        <is>
          <t>praise</t>
        </is>
      </c>
      <c r="U222" s="59" t="inlineStr"/>
    </row>
    <row r="223">
      <c r="A223" s="9" t="n">
        <v>222</v>
      </c>
      <c r="B223" s="58" t="n">
        <v>46270</v>
      </c>
      <c r="C223" s="9" t="str">
        <f>TEXT(B223,"yyyy-mm")</f>
        <v>2026-09</v>
      </c>
      <c r="D223" s="9" t="n">
        <v>1</v>
      </c>
      <c r="E223" s="9" t="inlineStr">
        <is>
          <t>18.7.0</t>
        </is>
      </c>
      <c r="F223" s="59" t="inlineStr">
        <is>
          <t>Bad experience</t>
        </is>
      </c>
      <c r="G223" s="59" t="inlineStr">
        <is>
          <t>Very disappointing experience with YesMadam.
I got a facial done through YesMadam, but unfortunately, the product used during the facial caused severe irritation and swelling in my eyes. I was in a lot of discomfort for 3–4 days and had to visit a doctor.
I immediately raised a complaint with YesMadam and explained the problem, but my issue was not properly resolved and I did not feel that my concern was taken seriously.
A facial should leave you feeling relaxed and happy, but this experience caused me unnecessary pain, discomfort and stress. I expected better quality products and much better customer support from YesMadam.
Please be careful with the products being used, especially around sensitive areas like the eyes.</t>
        </is>
      </c>
      <c r="H223" s="9" t="inlineStr">
        <is>
          <t>product_fit</t>
        </is>
      </c>
      <c r="I223" s="9" t="inlineStr">
        <is>
          <t>product_reaction</t>
        </is>
      </c>
      <c r="J223" s="9" t="inlineStr">
        <is>
          <t>support</t>
        </is>
      </c>
      <c r="K223" s="9" t="inlineStr">
        <is>
          <t>yes</t>
        </is>
      </c>
      <c r="L223" s="9" t="inlineStr">
        <is>
          <t>yes</t>
        </is>
      </c>
      <c r="M223" s="9" t="inlineStr">
        <is>
          <t>high</t>
        </is>
      </c>
      <c r="N223" s="9" t="inlineStr">
        <is>
          <t>no</t>
        </is>
      </c>
      <c r="O223" s="9" t="inlineStr">
        <is>
          <t>facial_cleanup</t>
        </is>
      </c>
      <c r="P223" s="9" t="inlineStr"/>
      <c r="Q223" s="9" t="n">
        <v>0</v>
      </c>
      <c r="R223" s="59" t="inlineStr">
        <is>
          <t>the product used during the facial caused severe irritation and swelling in my eyes.</t>
        </is>
      </c>
      <c r="S223" s="9" t="inlineStr">
        <is>
          <t>product_fit</t>
        </is>
      </c>
      <c r="T223" s="9" t="inlineStr">
        <is>
          <t>product_fit</t>
        </is>
      </c>
      <c r="U223" s="59" t="inlineStr"/>
    </row>
    <row r="224">
      <c r="A224" s="9" t="n">
        <v>223</v>
      </c>
      <c r="B224" s="58" t="n">
        <v>46270</v>
      </c>
      <c r="C224" s="9" t="str">
        <f>TEXT(B224,"yyyy-mm")</f>
        <v>2026-09</v>
      </c>
      <c r="D224" s="9" t="n">
        <v>5</v>
      </c>
      <c r="E224" s="9" t="inlineStr">
        <is>
          <t>18.7.0</t>
        </is>
      </c>
      <c r="F224" s="59" t="inlineStr">
        <is>
          <t>Best service’s provided</t>
        </is>
      </c>
      <c r="G224" s="59" t="inlineStr">
        <is>
          <t>Best services provided, fully happy and satisfied</t>
        </is>
      </c>
      <c r="H224" s="9" t="inlineStr">
        <is>
          <t>praise</t>
        </is>
      </c>
      <c r="I224" s="9" t="inlineStr">
        <is>
          <t>praise_service</t>
        </is>
      </c>
      <c r="J224" s="9" t="inlineStr"/>
      <c r="K224" s="9" t="inlineStr">
        <is>
          <t>no</t>
        </is>
      </c>
      <c r="L224" s="9" t="inlineStr">
        <is>
          <t>no</t>
        </is>
      </c>
      <c r="M224" s="9" t="inlineStr">
        <is>
          <t>none</t>
        </is>
      </c>
      <c r="N224" s="9" t="inlineStr">
        <is>
          <t>no</t>
        </is>
      </c>
      <c r="O224" s="9" t="inlineStr">
        <is>
          <t>unknown</t>
        </is>
      </c>
      <c r="P224" s="9" t="inlineStr"/>
      <c r="Q224" s="9" t="n">
        <v>0</v>
      </c>
      <c r="R224" s="59" t="inlineStr">
        <is>
          <t>Best services provided, fully happy and satisfied</t>
        </is>
      </c>
      <c r="S224" s="9" t="inlineStr">
        <is>
          <t>praise</t>
        </is>
      </c>
      <c r="T224" s="9" t="inlineStr">
        <is>
          <t>praise</t>
        </is>
      </c>
      <c r="U224" s="59" t="inlineStr"/>
    </row>
    <row r="225">
      <c r="A225" s="9" t="n">
        <v>224</v>
      </c>
      <c r="B225" s="58" t="n">
        <v>46270</v>
      </c>
      <c r="C225" s="9" t="str">
        <f>TEXT(B225,"yyyy-mm")</f>
        <v>2026-09</v>
      </c>
      <c r="D225" s="9" t="n">
        <v>5</v>
      </c>
      <c r="E225" s="9" t="inlineStr">
        <is>
          <t>18.7.0</t>
        </is>
      </c>
      <c r="F225" s="59" t="inlineStr">
        <is>
          <t>Very good</t>
        </is>
      </c>
      <c r="G225" s="59" t="inlineStr">
        <is>
          <t>Excellent</t>
        </is>
      </c>
      <c r="H225" s="9" t="inlineStr">
        <is>
          <t>praise</t>
        </is>
      </c>
      <c r="I225" s="9" t="inlineStr">
        <is>
          <t>praise_service</t>
        </is>
      </c>
      <c r="J225" s="9" t="inlineStr"/>
      <c r="K225" s="9" t="inlineStr">
        <is>
          <t>no</t>
        </is>
      </c>
      <c r="L225" s="9" t="inlineStr">
        <is>
          <t>no</t>
        </is>
      </c>
      <c r="M225" s="9" t="inlineStr">
        <is>
          <t>none</t>
        </is>
      </c>
      <c r="N225" s="9" t="inlineStr">
        <is>
          <t>no</t>
        </is>
      </c>
      <c r="O225" s="9" t="inlineStr">
        <is>
          <t>unknown</t>
        </is>
      </c>
      <c r="P225" s="9" t="inlineStr"/>
      <c r="Q225" s="9" t="n">
        <v>0</v>
      </c>
      <c r="R225" s="59" t="inlineStr">
        <is>
          <t>Very good Excellent</t>
        </is>
      </c>
      <c r="S225" s="9" t="inlineStr">
        <is>
          <t>praise</t>
        </is>
      </c>
      <c r="T225" s="9" t="inlineStr">
        <is>
          <t>praise</t>
        </is>
      </c>
      <c r="U225" s="59" t="inlineStr"/>
    </row>
    <row r="226">
      <c r="A226" s="9" t="n">
        <v>225</v>
      </c>
      <c r="B226" s="58" t="n">
        <v>46270</v>
      </c>
      <c r="C226" s="9" t="str">
        <f>TEXT(B226,"yyyy-mm")</f>
        <v>2026-09</v>
      </c>
      <c r="D226" s="9" t="n">
        <v>1</v>
      </c>
      <c r="E226" s="9" t="inlineStr">
        <is>
          <t>18.7.0</t>
        </is>
      </c>
      <c r="F226" s="59" t="inlineStr">
        <is>
          <t>Don’t trust the service</t>
        </is>
      </c>
      <c r="G226" s="59" t="inlineStr">
        <is>
          <t>I booked dubble chin slimling this is worst app which I have seen, so don’t book any services from this app</t>
        </is>
      </c>
      <c r="H226" s="9" t="inlineStr">
        <is>
          <t>other</t>
        </is>
      </c>
      <c r="I226" s="9" t="inlineStr">
        <is>
          <t>unclear</t>
        </is>
      </c>
      <c r="J226" s="9" t="inlineStr"/>
      <c r="K226" s="9" t="inlineStr">
        <is>
          <t>no</t>
        </is>
      </c>
      <c r="L226" s="9" t="inlineStr">
        <is>
          <t>no</t>
        </is>
      </c>
      <c r="M226" s="9" t="inlineStr">
        <is>
          <t>low</t>
        </is>
      </c>
      <c r="N226" s="9" t="inlineStr">
        <is>
          <t>no</t>
        </is>
      </c>
      <c r="O226" s="9" t="inlineStr">
        <is>
          <t>laser_advanced</t>
        </is>
      </c>
      <c r="P226" s="9" t="inlineStr"/>
      <c r="Q226" s="9" t="n">
        <v>0</v>
      </c>
      <c r="R226" s="59" t="inlineStr">
        <is>
          <t>I booked dubble chin slimling this is worst app which I have seen, so don’t book any services from this app</t>
        </is>
      </c>
      <c r="S226" s="9" t="inlineStr">
        <is>
          <t>other</t>
        </is>
      </c>
      <c r="T226" s="9" t="inlineStr">
        <is>
          <t>other</t>
        </is>
      </c>
      <c r="U226" s="59" t="inlineStr"/>
    </row>
    <row r="227">
      <c r="A227" s="9" t="n">
        <v>226</v>
      </c>
      <c r="B227" s="58" t="n">
        <v>46268</v>
      </c>
      <c r="C227" s="9" t="str">
        <f>TEXT(B227,"yyyy-mm")</f>
        <v>2026-09</v>
      </c>
      <c r="D227" s="9" t="n">
        <v>1</v>
      </c>
      <c r="E227" s="9" t="inlineStr">
        <is>
          <t>18.7.0</t>
        </is>
      </c>
      <c r="F227" s="59" t="inlineStr">
        <is>
          <t>Horrible - Marketing Gimic</t>
        </is>
      </c>
      <c r="G227" s="59" t="inlineStr">
        <is>
          <t>They never have any of the cupping service available at any point and most of their services is name sake with no availability . Just a gimic to download their silly app and waste time</t>
        </is>
      </c>
      <c r="H227" s="9" t="inlineStr">
        <is>
          <t>app</t>
        </is>
      </c>
      <c r="I227" s="9" t="inlineStr">
        <is>
          <t>slots_unavailable</t>
        </is>
      </c>
      <c r="J227" s="9" t="inlineStr"/>
      <c r="K227" s="9" t="inlineStr">
        <is>
          <t>no</t>
        </is>
      </c>
      <c r="L227" s="9" t="inlineStr">
        <is>
          <t>no</t>
        </is>
      </c>
      <c r="M227" s="9" t="inlineStr">
        <is>
          <t>low</t>
        </is>
      </c>
      <c r="N227" s="9" t="inlineStr">
        <is>
          <t>no</t>
        </is>
      </c>
      <c r="O227" s="9" t="inlineStr">
        <is>
          <t>massage_spa</t>
        </is>
      </c>
      <c r="P227" s="9" t="inlineStr"/>
      <c r="Q227" s="9" t="n">
        <v>0</v>
      </c>
      <c r="R227" s="59" t="inlineStr">
        <is>
          <t>They never have any of the cupping service available at any point and most of their services is name sake with no availability</t>
        </is>
      </c>
      <c r="S227" s="9" t="inlineStr">
        <is>
          <t>app</t>
        </is>
      </c>
      <c r="T227" s="9" t="inlineStr">
        <is>
          <t>app</t>
        </is>
      </c>
      <c r="U227" s="59" t="inlineStr"/>
    </row>
    <row r="228">
      <c r="A228" s="9" t="n">
        <v>227</v>
      </c>
      <c r="B228" s="58" t="n">
        <v>46268</v>
      </c>
      <c r="C228" s="9" t="str">
        <f>TEXT(B228,"yyyy-mm")</f>
        <v>2026-09</v>
      </c>
      <c r="D228" s="9" t="n">
        <v>5</v>
      </c>
      <c r="E228" s="9" t="inlineStr">
        <is>
          <t>18.7.0</t>
        </is>
      </c>
      <c r="F228" s="59" t="inlineStr">
        <is>
          <t>Good service</t>
        </is>
      </c>
      <c r="G228" s="59" t="inlineStr">
        <is>
          <t>Did better than what i expected</t>
        </is>
      </c>
      <c r="H228" s="9" t="inlineStr">
        <is>
          <t>praise</t>
        </is>
      </c>
      <c r="I228" s="9" t="inlineStr">
        <is>
          <t>praise_service</t>
        </is>
      </c>
      <c r="J228" s="9" t="inlineStr"/>
      <c r="K228" s="9" t="inlineStr">
        <is>
          <t>no</t>
        </is>
      </c>
      <c r="L228" s="9" t="inlineStr">
        <is>
          <t>no</t>
        </is>
      </c>
      <c r="M228" s="9" t="inlineStr">
        <is>
          <t>none</t>
        </is>
      </c>
      <c r="N228" s="9" t="inlineStr">
        <is>
          <t>no</t>
        </is>
      </c>
      <c r="O228" s="9" t="inlineStr">
        <is>
          <t>unknown</t>
        </is>
      </c>
      <c r="P228" s="9" t="inlineStr"/>
      <c r="Q228" s="9" t="n">
        <v>0</v>
      </c>
      <c r="R228" s="59" t="inlineStr">
        <is>
          <t>Did better than what i expected</t>
        </is>
      </c>
      <c r="S228" s="9" t="inlineStr">
        <is>
          <t>praise</t>
        </is>
      </c>
      <c r="T228" s="9" t="inlineStr">
        <is>
          <t>praise</t>
        </is>
      </c>
      <c r="U228" s="59" t="inlineStr"/>
    </row>
    <row r="229">
      <c r="A229" s="9" t="n">
        <v>228</v>
      </c>
      <c r="B229" s="58" t="n">
        <v>46268</v>
      </c>
      <c r="C229" s="9" t="str">
        <f>TEXT(B229,"yyyy-mm")</f>
        <v>2026-09</v>
      </c>
      <c r="D229" s="9" t="n">
        <v>1</v>
      </c>
      <c r="E229" s="9" t="inlineStr">
        <is>
          <t>18.7.0</t>
        </is>
      </c>
      <c r="F229" s="59" t="inlineStr">
        <is>
          <t>Disappointed with service</t>
        </is>
      </c>
      <c r="G229" s="59" t="inlineStr">
        <is>
          <t>I am quite disappointed with the korean hair spa service. The entire service was completed barely within 15mins. The professional simply applied the product and left. Honestly, i feel i could have achieved a similar result at home using my own hair mask. I understand that the price may not very high, but the service provided was not worth what i paid for it. I was expecting a proper hair spa treatment and a more thorough experience, rather than just having a product and being done in 15mins.</t>
        </is>
      </c>
      <c r="H229" s="9" t="inlineStr">
        <is>
          <t>service_quality</t>
        </is>
      </c>
      <c r="I229" s="9" t="inlineStr">
        <is>
          <t>rushed_or_incomplete</t>
        </is>
      </c>
      <c r="J229" s="9" t="inlineStr"/>
      <c r="K229" s="9" t="inlineStr">
        <is>
          <t>no</t>
        </is>
      </c>
      <c r="L229" s="9" t="inlineStr">
        <is>
          <t>no</t>
        </is>
      </c>
      <c r="M229" s="9" t="inlineStr">
        <is>
          <t>medium</t>
        </is>
      </c>
      <c r="N229" s="9" t="inlineStr">
        <is>
          <t>no</t>
        </is>
      </c>
      <c r="O229" s="9" t="inlineStr">
        <is>
          <t>hair</t>
        </is>
      </c>
      <c r="P229" s="9" t="inlineStr"/>
      <c r="Q229" s="9" t="n">
        <v>0</v>
      </c>
      <c r="R229" s="59" t="inlineStr">
        <is>
          <t>The entire service was completed barely within 15mins. The professional simply applied the product and left.</t>
        </is>
      </c>
      <c r="S229" s="9" t="inlineStr">
        <is>
          <t>service_quality</t>
        </is>
      </c>
      <c r="T229" s="9" t="inlineStr">
        <is>
          <t>service_quality</t>
        </is>
      </c>
      <c r="U229" s="59" t="inlineStr"/>
    </row>
    <row r="230">
      <c r="A230" s="9" t="n">
        <v>229</v>
      </c>
      <c r="B230" s="58" t="n">
        <v>46267</v>
      </c>
      <c r="C230" s="9" t="str">
        <f>TEXT(B230,"yyyy-mm")</f>
        <v>2026-09</v>
      </c>
      <c r="D230" s="9" t="n">
        <v>1</v>
      </c>
      <c r="E230" s="9" t="inlineStr">
        <is>
          <t>18.7.0</t>
        </is>
      </c>
      <c r="F230" s="59" t="inlineStr">
        <is>
          <t>Worst legal team</t>
        </is>
      </c>
      <c r="G230" s="59" t="inlineStr">
        <is>
          <t>Their  legal team think the knows everything but website /app practicing drip pricing( dark pattern) which is prohibited in 
CCPA guideline but their legal team don’t know about it and no details of the grievance officer as per Consumer Protection (E-Commerce) Rules, 2020 it’s hidden in privacy policy.
I know many thing but they legal team was not willing to listen to me…
Anyways ATB…</t>
        </is>
      </c>
      <c r="H230" s="9" t="inlineStr">
        <is>
          <t>price_clarity</t>
        </is>
      </c>
      <c r="I230" s="9" t="inlineStr">
        <is>
          <t>hidden_charges</t>
        </is>
      </c>
      <c r="J230" s="9" t="inlineStr">
        <is>
          <t>support</t>
        </is>
      </c>
      <c r="K230" s="9" t="inlineStr">
        <is>
          <t>yes</t>
        </is>
      </c>
      <c r="L230" s="9" t="inlineStr">
        <is>
          <t>yes</t>
        </is>
      </c>
      <c r="M230" s="9" t="inlineStr">
        <is>
          <t>medium</t>
        </is>
      </c>
      <c r="N230" s="9" t="inlineStr">
        <is>
          <t>no</t>
        </is>
      </c>
      <c r="O230" s="9" t="inlineStr">
        <is>
          <t>unknown</t>
        </is>
      </c>
      <c r="P230" s="9" t="inlineStr"/>
      <c r="Q230" s="9" t="n">
        <v>0</v>
      </c>
      <c r="R230" s="59" t="inlineStr">
        <is>
          <t>website /app practicing drip pricing( dark pattern) which is prohibited in CCPA guideline</t>
        </is>
      </c>
      <c r="S230" s="9" t="inlineStr">
        <is>
          <t>price_clarity</t>
        </is>
      </c>
      <c r="T230" s="9" t="inlineStr">
        <is>
          <t>price_clarity</t>
        </is>
      </c>
      <c r="U230" s="59" t="inlineStr"/>
    </row>
    <row r="231">
      <c r="A231" s="9" t="n">
        <v>230</v>
      </c>
      <c r="B231" s="58" t="n">
        <v>46266</v>
      </c>
      <c r="C231" s="9" t="str">
        <f>TEXT(B231,"yyyy-mm")</f>
        <v>2026-09</v>
      </c>
      <c r="D231" s="9" t="n">
        <v>4</v>
      </c>
      <c r="E231" s="9" t="inlineStr">
        <is>
          <t>18.7.0</t>
        </is>
      </c>
      <c r="F231" s="59" t="inlineStr">
        <is>
          <t>Too much taxes from customers.</t>
        </is>
      </c>
      <c r="G231" s="59" t="inlineStr">
        <is>
          <t>Taxes are too much ., plz reduce your taxes.
Di</t>
        </is>
      </c>
      <c r="H231" s="9" t="inlineStr">
        <is>
          <t>price_clarity</t>
        </is>
      </c>
      <c r="I231" s="9" t="inlineStr">
        <is>
          <t>hidden_charges</t>
        </is>
      </c>
      <c r="J231" s="9" t="inlineStr"/>
      <c r="K231" s="9" t="inlineStr">
        <is>
          <t>no</t>
        </is>
      </c>
      <c r="L231" s="9" t="inlineStr">
        <is>
          <t>no</t>
        </is>
      </c>
      <c r="M231" s="9" t="inlineStr">
        <is>
          <t>low</t>
        </is>
      </c>
      <c r="N231" s="9" t="inlineStr">
        <is>
          <t>no</t>
        </is>
      </c>
      <c r="O231" s="9" t="inlineStr">
        <is>
          <t>unknown</t>
        </is>
      </c>
      <c r="P231" s="9" t="inlineStr"/>
      <c r="Q231" s="9" t="n">
        <v>0</v>
      </c>
      <c r="R231" s="59" t="inlineStr">
        <is>
          <t>Too much taxes from customers. Taxes are too much ., plz reduce your taxes.</t>
        </is>
      </c>
      <c r="S231" s="9" t="inlineStr">
        <is>
          <t>price_clarity</t>
        </is>
      </c>
      <c r="T231" s="9" t="inlineStr">
        <is>
          <t>price_clarity</t>
        </is>
      </c>
      <c r="U231" s="59" t="inlineStr"/>
    </row>
    <row r="232">
      <c r="A232" s="9" t="n">
        <v>231</v>
      </c>
      <c r="B232" s="58" t="n">
        <v>46265</v>
      </c>
      <c r="C232" s="9" t="str">
        <f>TEXT(B232,"yyyy-mm")</f>
        <v>2026-08</v>
      </c>
      <c r="D232" s="9" t="n">
        <v>1</v>
      </c>
      <c r="E232" s="9" t="inlineStr">
        <is>
          <t>18.7.0</t>
        </is>
      </c>
      <c r="F232" s="59" t="inlineStr">
        <is>
          <t>First n last time using this pathetic service</t>
        </is>
      </c>
      <c r="G232" s="59" t="inlineStr">
        <is>
          <t>Worst experience ever bcoz lady was rude and sarcastic with her replies .. she also was being harsh while doing back massage intentionally coz I was asking her few questions which she din like .. we pay to relax and madam [name] was on call and was soo disturbing especially for me after delivering a baby</t>
        </is>
      </c>
      <c r="H232" s="9" t="inlineStr">
        <is>
          <t>service_quality</t>
        </is>
      </c>
      <c r="I232" s="9" t="inlineStr">
        <is>
          <t>rude_behaviour</t>
        </is>
      </c>
      <c r="J232" s="9" t="inlineStr"/>
      <c r="K232" s="9" t="inlineStr">
        <is>
          <t>no</t>
        </is>
      </c>
      <c r="L232" s="9" t="inlineStr">
        <is>
          <t>no</t>
        </is>
      </c>
      <c r="M232" s="9" t="inlineStr">
        <is>
          <t>medium</t>
        </is>
      </c>
      <c r="N232" s="9" t="inlineStr">
        <is>
          <t>yes</t>
        </is>
      </c>
      <c r="O232" s="9" t="inlineStr">
        <is>
          <t>massage_spa</t>
        </is>
      </c>
      <c r="P232" s="9" t="inlineStr"/>
      <c r="Q232" s="9" t="n">
        <v>0</v>
      </c>
      <c r="R232" s="59" t="inlineStr">
        <is>
          <t>lady was rude and sarcastic with her replies .. she also was being harsh while doing back massage intentionally</t>
        </is>
      </c>
      <c r="S232" s="9" t="inlineStr">
        <is>
          <t>service_quality</t>
        </is>
      </c>
      <c r="T232" s="9" t="inlineStr">
        <is>
          <t>service_quality</t>
        </is>
      </c>
      <c r="U232" s="59" t="inlineStr"/>
    </row>
    <row r="233">
      <c r="A233" s="9" t="n">
        <v>232</v>
      </c>
      <c r="B233" s="58" t="n">
        <v>46265</v>
      </c>
      <c r="C233" s="9" t="str">
        <f>TEXT(B233,"yyyy-mm")</f>
        <v>2026-08</v>
      </c>
      <c r="D233" s="9" t="n">
        <v>5</v>
      </c>
      <c r="E233" s="9" t="inlineStr">
        <is>
          <t>18.7.0</t>
        </is>
      </c>
      <c r="F233" s="59" t="inlineStr">
        <is>
          <t>Its like Bangur cement</t>
        </is>
      </c>
      <c r="G233" s="59" t="inlineStr">
        <is>
          <t>Sasta nahi sabse acha</t>
        </is>
      </c>
      <c r="H233" s="9" t="inlineStr">
        <is>
          <t>praise</t>
        </is>
      </c>
      <c r="I233" s="9" t="inlineStr">
        <is>
          <t>praise_service</t>
        </is>
      </c>
      <c r="J233" s="9" t="inlineStr"/>
      <c r="K233" s="9" t="inlineStr">
        <is>
          <t>no</t>
        </is>
      </c>
      <c r="L233" s="9" t="inlineStr">
        <is>
          <t>no</t>
        </is>
      </c>
      <c r="M233" s="9" t="inlineStr">
        <is>
          <t>none</t>
        </is>
      </c>
      <c r="N233" s="9" t="inlineStr">
        <is>
          <t>no</t>
        </is>
      </c>
      <c r="O233" s="9" t="inlineStr">
        <is>
          <t>unknown</t>
        </is>
      </c>
      <c r="P233" s="9" t="inlineStr"/>
      <c r="Q233" s="9" t="n">
        <v>0</v>
      </c>
      <c r="R233" s="59" t="inlineStr">
        <is>
          <t>Its like Bangur cement Sasta nahi sabse acha</t>
        </is>
      </c>
      <c r="S233" s="9" t="inlineStr">
        <is>
          <t>praise</t>
        </is>
      </c>
      <c r="T233" s="9" t="inlineStr">
        <is>
          <t>praise</t>
        </is>
      </c>
      <c r="U233" s="59" t="inlineStr"/>
    </row>
    <row r="234">
      <c r="A234" s="9" t="n">
        <v>233</v>
      </c>
      <c r="B234" s="58" t="n">
        <v>46265</v>
      </c>
      <c r="C234" s="9" t="str">
        <f>TEXT(B234,"yyyy-mm")</f>
        <v>2026-08</v>
      </c>
      <c r="D234" s="9" t="n">
        <v>1</v>
      </c>
      <c r="E234" s="9" t="inlineStr">
        <is>
          <t>18.7.0</t>
        </is>
      </c>
      <c r="F234" s="59" t="inlineStr">
        <is>
          <t>worst service</t>
        </is>
      </c>
      <c r="G234" s="59" t="inlineStr">
        <is>
          <t>worst sevice and wax…… corean just name is fancy baki all bakavas do not goo for yes madam….. pathetic. I m pregnant woman n it was really painful. THIS IS A GENUINE SUGGESTION PLZ GO FOR RICA WITH URBAN COMPANY. it may be costly but worth.</t>
        </is>
      </c>
      <c r="H234" s="9" t="inlineStr">
        <is>
          <t>product_fit</t>
        </is>
      </c>
      <c r="I234" s="9" t="inlineStr">
        <is>
          <t>product_quality</t>
        </is>
      </c>
      <c r="J234" s="9" t="inlineStr">
        <is>
          <t>service_quality</t>
        </is>
      </c>
      <c r="K234" s="9" t="inlineStr">
        <is>
          <t>no</t>
        </is>
      </c>
      <c r="L234" s="9" t="inlineStr">
        <is>
          <t>no</t>
        </is>
      </c>
      <c r="M234" s="9" t="inlineStr">
        <is>
          <t>medium</t>
        </is>
      </c>
      <c r="N234" s="9" t="inlineStr">
        <is>
          <t>no</t>
        </is>
      </c>
      <c r="O234" s="9" t="inlineStr">
        <is>
          <t>waxing</t>
        </is>
      </c>
      <c r="P234" s="9" t="inlineStr"/>
      <c r="Q234" s="9" t="n">
        <v>0</v>
      </c>
      <c r="R234" s="59" t="inlineStr">
        <is>
          <t>worst sevice and wax…… corean just name is fancy baki all bakavas do not goo for yes madam</t>
        </is>
      </c>
      <c r="S234" s="9" t="inlineStr">
        <is>
          <t>product_fit</t>
        </is>
      </c>
      <c r="T234" s="9" t="inlineStr">
        <is>
          <t>product_fit</t>
        </is>
      </c>
      <c r="U234" s="59" t="inlineStr"/>
    </row>
    <row r="235">
      <c r="A235" s="9" t="n">
        <v>234</v>
      </c>
      <c r="B235" s="58" t="n">
        <v>46265</v>
      </c>
      <c r="C235" s="9" t="str">
        <f>TEXT(B235,"yyyy-mm")</f>
        <v>2026-08</v>
      </c>
      <c r="D235" s="9" t="n">
        <v>5</v>
      </c>
      <c r="E235" s="9" t="inlineStr">
        <is>
          <t>18.7.0</t>
        </is>
      </c>
      <c r="F235" s="59" t="inlineStr">
        <is>
          <t>Good</t>
        </is>
      </c>
      <c r="G235" s="59" t="inlineStr">
        <is>
          <t>Service is excellent</t>
        </is>
      </c>
      <c r="H235" s="9" t="inlineStr">
        <is>
          <t>praise</t>
        </is>
      </c>
      <c r="I235" s="9" t="inlineStr">
        <is>
          <t>praise_service</t>
        </is>
      </c>
      <c r="J235" s="9" t="inlineStr"/>
      <c r="K235" s="9" t="inlineStr">
        <is>
          <t>no</t>
        </is>
      </c>
      <c r="L235" s="9" t="inlineStr">
        <is>
          <t>no</t>
        </is>
      </c>
      <c r="M235" s="9" t="inlineStr">
        <is>
          <t>none</t>
        </is>
      </c>
      <c r="N235" s="9" t="inlineStr">
        <is>
          <t>no</t>
        </is>
      </c>
      <c r="O235" s="9" t="inlineStr">
        <is>
          <t>unknown</t>
        </is>
      </c>
      <c r="P235" s="9" t="inlineStr"/>
      <c r="Q235" s="9" t="n">
        <v>0</v>
      </c>
      <c r="R235" s="59" t="inlineStr">
        <is>
          <t>Service is excellent</t>
        </is>
      </c>
      <c r="S235" s="9" t="inlineStr">
        <is>
          <t>praise</t>
        </is>
      </c>
      <c r="T235" s="9" t="inlineStr">
        <is>
          <t>praise</t>
        </is>
      </c>
      <c r="U235" s="59" t="inlineStr"/>
    </row>
    <row r="236">
      <c r="A236" s="9" t="n">
        <v>235</v>
      </c>
      <c r="B236" s="58" t="n">
        <v>46264</v>
      </c>
      <c r="C236" s="9" t="str">
        <f>TEXT(B236,"yyyy-mm")</f>
        <v>2026-08</v>
      </c>
      <c r="D236" s="9" t="n">
        <v>5</v>
      </c>
      <c r="E236" s="9" t="inlineStr">
        <is>
          <t>18.7.0</t>
        </is>
      </c>
      <c r="F236" s="59" t="inlineStr">
        <is>
          <t>Amazing service</t>
        </is>
      </c>
      <c r="G236" s="59" t="inlineStr">
        <is>
          <t>Value for money</t>
        </is>
      </c>
      <c r="H236" s="9" t="inlineStr">
        <is>
          <t>praise</t>
        </is>
      </c>
      <c r="I236" s="9" t="inlineStr">
        <is>
          <t>praise_value</t>
        </is>
      </c>
      <c r="J236" s="9" t="inlineStr"/>
      <c r="K236" s="9" t="inlineStr">
        <is>
          <t>no</t>
        </is>
      </c>
      <c r="L236" s="9" t="inlineStr">
        <is>
          <t>no</t>
        </is>
      </c>
      <c r="M236" s="9" t="inlineStr">
        <is>
          <t>none</t>
        </is>
      </c>
      <c r="N236" s="9" t="inlineStr">
        <is>
          <t>no</t>
        </is>
      </c>
      <c r="O236" s="9" t="inlineStr">
        <is>
          <t>unknown</t>
        </is>
      </c>
      <c r="P236" s="9" t="inlineStr"/>
      <c r="Q236" s="9" t="n">
        <v>0</v>
      </c>
      <c r="R236" s="59" t="inlineStr">
        <is>
          <t>Amazing service Value for money</t>
        </is>
      </c>
      <c r="S236" s="9" t="inlineStr">
        <is>
          <t>praise</t>
        </is>
      </c>
      <c r="T236" s="9" t="inlineStr">
        <is>
          <t>praise</t>
        </is>
      </c>
      <c r="U236" s="59" t="inlineStr"/>
    </row>
    <row r="237">
      <c r="A237" s="9" t="n">
        <v>236</v>
      </c>
      <c r="B237" s="58" t="n">
        <v>46264</v>
      </c>
      <c r="C237" s="9" t="str">
        <f>TEXT(B237,"yyyy-mm")</f>
        <v>2026-08</v>
      </c>
      <c r="D237" s="9" t="n">
        <v>5</v>
      </c>
      <c r="E237" s="9" t="inlineStr">
        <is>
          <t>18.7.0</t>
        </is>
      </c>
      <c r="F237" s="59" t="inlineStr">
        <is>
          <t>[name]</t>
        </is>
      </c>
      <c r="G237" s="59" t="inlineStr">
        <is>
          <t>Best service provided by [name] ji</t>
        </is>
      </c>
      <c r="H237" s="9" t="inlineStr">
        <is>
          <t>praise</t>
        </is>
      </c>
      <c r="I237" s="9" t="inlineStr">
        <is>
          <t>praise_professional</t>
        </is>
      </c>
      <c r="J237" s="9" t="inlineStr"/>
      <c r="K237" s="9" t="inlineStr">
        <is>
          <t>no</t>
        </is>
      </c>
      <c r="L237" s="9" t="inlineStr">
        <is>
          <t>no</t>
        </is>
      </c>
      <c r="M237" s="9" t="inlineStr">
        <is>
          <t>none</t>
        </is>
      </c>
      <c r="N237" s="9" t="inlineStr">
        <is>
          <t>no</t>
        </is>
      </c>
      <c r="O237" s="9" t="inlineStr">
        <is>
          <t>unknown</t>
        </is>
      </c>
      <c r="P237" s="9" t="inlineStr"/>
      <c r="Q237" s="9" t="n">
        <v>0</v>
      </c>
      <c r="R237" s="59" t="inlineStr">
        <is>
          <t>Best service provided by [name] ji</t>
        </is>
      </c>
      <c r="S237" s="9" t="inlineStr">
        <is>
          <t>praise</t>
        </is>
      </c>
      <c r="T237" s="9" t="inlineStr">
        <is>
          <t>praise</t>
        </is>
      </c>
      <c r="U237" s="59" t="inlineStr"/>
    </row>
    <row r="238">
      <c r="A238" s="9" t="n">
        <v>237</v>
      </c>
      <c r="B238" s="58" t="n">
        <v>46264</v>
      </c>
      <c r="C238" s="9" t="str">
        <f>TEXT(B238,"yyyy-mm")</f>
        <v>2026-08</v>
      </c>
      <c r="D238" s="9" t="n">
        <v>5</v>
      </c>
      <c r="E238" s="9" t="inlineStr">
        <is>
          <t>18.7.0</t>
        </is>
      </c>
      <c r="F238" s="59" t="inlineStr">
        <is>
          <t>Best Service With Customer Product</t>
        </is>
      </c>
      <c r="G238" s="59" t="inlineStr">
        <is>
          <t>Yes Madam Always give good service with my Favourite Products ♥️🫶</t>
        </is>
      </c>
      <c r="H238" s="9" t="inlineStr">
        <is>
          <t>praise</t>
        </is>
      </c>
      <c r="I238" s="9" t="inlineStr">
        <is>
          <t>praise_service</t>
        </is>
      </c>
      <c r="J238" s="9" t="inlineStr"/>
      <c r="K238" s="9" t="inlineStr">
        <is>
          <t>no</t>
        </is>
      </c>
      <c r="L238" s="9" t="inlineStr">
        <is>
          <t>no</t>
        </is>
      </c>
      <c r="M238" s="9" t="inlineStr">
        <is>
          <t>none</t>
        </is>
      </c>
      <c r="N238" s="9" t="inlineStr">
        <is>
          <t>no</t>
        </is>
      </c>
      <c r="O238" s="9" t="inlineStr">
        <is>
          <t>unknown</t>
        </is>
      </c>
      <c r="P238" s="9" t="inlineStr"/>
      <c r="Q238" s="9" t="n">
        <v>0</v>
      </c>
      <c r="R238" s="59" t="inlineStr">
        <is>
          <t>Yes Madam Always give good service with my Favourite Products</t>
        </is>
      </c>
      <c r="S238" s="9" t="inlineStr">
        <is>
          <t>praise</t>
        </is>
      </c>
      <c r="T238" s="9" t="inlineStr">
        <is>
          <t>praise</t>
        </is>
      </c>
      <c r="U238" s="59" t="inlineStr"/>
    </row>
    <row r="239">
      <c r="A239" s="9" t="n">
        <v>238</v>
      </c>
      <c r="B239" s="58" t="n">
        <v>46264</v>
      </c>
      <c r="C239" s="9" t="str">
        <f>TEXT(B239,"yyyy-mm")</f>
        <v>2026-08</v>
      </c>
      <c r="D239" s="9" t="n">
        <v>5</v>
      </c>
      <c r="E239" s="9" t="inlineStr">
        <is>
          <t>18.7.0</t>
        </is>
      </c>
      <c r="F239" s="59" t="inlineStr">
        <is>
          <t>Nice</t>
        </is>
      </c>
      <c r="G239" s="59" t="inlineStr">
        <is>
          <t>Very nice</t>
        </is>
      </c>
      <c r="H239" s="9" t="inlineStr">
        <is>
          <t>praise</t>
        </is>
      </c>
      <c r="I239" s="9" t="inlineStr">
        <is>
          <t>praise_service</t>
        </is>
      </c>
      <c r="J239" s="9" t="inlineStr"/>
      <c r="K239" s="9" t="inlineStr">
        <is>
          <t>no</t>
        </is>
      </c>
      <c r="L239" s="9" t="inlineStr">
        <is>
          <t>no</t>
        </is>
      </c>
      <c r="M239" s="9" t="inlineStr">
        <is>
          <t>none</t>
        </is>
      </c>
      <c r="N239" s="9" t="inlineStr">
        <is>
          <t>no</t>
        </is>
      </c>
      <c r="O239" s="9" t="inlineStr">
        <is>
          <t>unknown</t>
        </is>
      </c>
      <c r="P239" s="9" t="inlineStr"/>
      <c r="Q239" s="9" t="n">
        <v>0</v>
      </c>
      <c r="R239" s="59" t="inlineStr">
        <is>
          <t>Nice Very nice</t>
        </is>
      </c>
      <c r="S239" s="9" t="inlineStr">
        <is>
          <t>praise</t>
        </is>
      </c>
      <c r="T239" s="9" t="inlineStr">
        <is>
          <t>praise</t>
        </is>
      </c>
      <c r="U239" s="59" t="inlineStr"/>
    </row>
    <row r="240">
      <c r="A240" s="9" t="n">
        <v>239</v>
      </c>
      <c r="B240" s="58" t="n">
        <v>46263</v>
      </c>
      <c r="C240" s="9" t="str">
        <f>TEXT(B240,"yyyy-mm")</f>
        <v>2026-08</v>
      </c>
      <c r="D240" s="9" t="n">
        <v>5</v>
      </c>
      <c r="E240" s="9" t="inlineStr">
        <is>
          <t>18.7.0</t>
        </is>
      </c>
      <c r="F240" s="59" t="inlineStr">
        <is>
          <t>Good job</t>
        </is>
      </c>
      <c r="G240" s="59" t="inlineStr">
        <is>
          <t>Good job</t>
        </is>
      </c>
      <c r="H240" s="9" t="inlineStr">
        <is>
          <t>praise</t>
        </is>
      </c>
      <c r="I240" s="9" t="inlineStr">
        <is>
          <t>praise_service</t>
        </is>
      </c>
      <c r="J240" s="9" t="inlineStr"/>
      <c r="K240" s="9" t="inlineStr">
        <is>
          <t>no</t>
        </is>
      </c>
      <c r="L240" s="9" t="inlineStr">
        <is>
          <t>no</t>
        </is>
      </c>
      <c r="M240" s="9" t="inlineStr">
        <is>
          <t>none</t>
        </is>
      </c>
      <c r="N240" s="9" t="inlineStr">
        <is>
          <t>no</t>
        </is>
      </c>
      <c r="O240" s="9" t="inlineStr">
        <is>
          <t>unknown</t>
        </is>
      </c>
      <c r="P240" s="9" t="inlineStr"/>
      <c r="Q240" s="9" t="n">
        <v>0</v>
      </c>
      <c r="R240" s="59" t="inlineStr">
        <is>
          <t>Good job</t>
        </is>
      </c>
      <c r="S240" s="9" t="inlineStr">
        <is>
          <t>praise</t>
        </is>
      </c>
      <c r="T240" s="9" t="inlineStr">
        <is>
          <t>praise</t>
        </is>
      </c>
      <c r="U240" s="59" t="inlineStr"/>
    </row>
    <row r="241">
      <c r="A241" s="9" t="n">
        <v>240</v>
      </c>
      <c r="B241" s="58" t="n">
        <v>46263</v>
      </c>
      <c r="C241" s="9" t="str">
        <f>TEXT(B241,"yyyy-mm")</f>
        <v>2026-08</v>
      </c>
      <c r="D241" s="9" t="n">
        <v>5</v>
      </c>
      <c r="E241" s="9" t="inlineStr">
        <is>
          <t>18.7.0</t>
        </is>
      </c>
      <c r="F241" s="59" t="inlineStr">
        <is>
          <t>Spa</t>
        </is>
      </c>
      <c r="G241" s="59" t="inlineStr">
        <is>
          <t>She is awsome</t>
        </is>
      </c>
      <c r="H241" s="9" t="inlineStr">
        <is>
          <t>praise</t>
        </is>
      </c>
      <c r="I241" s="9" t="inlineStr">
        <is>
          <t>praise_professional</t>
        </is>
      </c>
      <c r="J241" s="9" t="inlineStr"/>
      <c r="K241" s="9" t="inlineStr">
        <is>
          <t>no</t>
        </is>
      </c>
      <c r="L241" s="9" t="inlineStr">
        <is>
          <t>no</t>
        </is>
      </c>
      <c r="M241" s="9" t="inlineStr">
        <is>
          <t>none</t>
        </is>
      </c>
      <c r="N241" s="9" t="inlineStr">
        <is>
          <t>no</t>
        </is>
      </c>
      <c r="O241" s="9" t="inlineStr">
        <is>
          <t>massage_spa</t>
        </is>
      </c>
      <c r="P241" s="9" t="inlineStr"/>
      <c r="Q241" s="9" t="n">
        <v>0</v>
      </c>
      <c r="R241" s="59" t="inlineStr">
        <is>
          <t>Spa She is awsome</t>
        </is>
      </c>
      <c r="S241" s="9" t="inlineStr">
        <is>
          <t>praise</t>
        </is>
      </c>
      <c r="T241" s="9" t="inlineStr">
        <is>
          <t>praise</t>
        </is>
      </c>
      <c r="U241" s="59" t="inlineStr"/>
    </row>
    <row r="242">
      <c r="A242" s="9" t="n">
        <v>241</v>
      </c>
      <c r="B242" s="58" t="n">
        <v>46263</v>
      </c>
      <c r="C242" s="9" t="str">
        <f>TEXT(B242,"yyyy-mm")</f>
        <v>2026-08</v>
      </c>
      <c r="D242" s="9" t="n">
        <v>5</v>
      </c>
      <c r="E242" s="9" t="inlineStr">
        <is>
          <t>18.7.0</t>
        </is>
      </c>
      <c r="F242" s="59" t="inlineStr">
        <is>
          <t>Review</t>
        </is>
      </c>
      <c r="G242" s="59" t="inlineStr">
        <is>
          <t>Great service by [name]. Would recommend her !</t>
        </is>
      </c>
      <c r="H242" s="9" t="inlineStr">
        <is>
          <t>praise</t>
        </is>
      </c>
      <c r="I242" s="9" t="inlineStr">
        <is>
          <t>praise_professional</t>
        </is>
      </c>
      <c r="J242" s="9" t="inlineStr"/>
      <c r="K242" s="9" t="inlineStr">
        <is>
          <t>no</t>
        </is>
      </c>
      <c r="L242" s="9" t="inlineStr">
        <is>
          <t>no</t>
        </is>
      </c>
      <c r="M242" s="9" t="inlineStr">
        <is>
          <t>none</t>
        </is>
      </c>
      <c r="N242" s="9" t="inlineStr">
        <is>
          <t>no</t>
        </is>
      </c>
      <c r="O242" s="9" t="inlineStr">
        <is>
          <t>unknown</t>
        </is>
      </c>
      <c r="P242" s="9" t="inlineStr"/>
      <c r="Q242" s="9" t="n">
        <v>0</v>
      </c>
      <c r="R242" s="59" t="inlineStr">
        <is>
          <t>Great service by [name] ! Would recommend her !</t>
        </is>
      </c>
      <c r="S242" s="9" t="inlineStr">
        <is>
          <t>praise</t>
        </is>
      </c>
      <c r="T242" s="9" t="inlineStr">
        <is>
          <t>praise</t>
        </is>
      </c>
      <c r="U242" s="59" t="inlineStr"/>
    </row>
    <row r="243">
      <c r="A243" s="9" t="n">
        <v>242</v>
      </c>
      <c r="B243" s="58" t="n">
        <v>46262</v>
      </c>
      <c r="C243" s="9" t="str">
        <f>TEXT(B243,"yyyy-mm")</f>
        <v>2026-08</v>
      </c>
      <c r="D243" s="9" t="n">
        <v>1</v>
      </c>
      <c r="E243" s="9" t="inlineStr">
        <is>
          <t>18.7.0</t>
        </is>
      </c>
      <c r="F243" s="59" t="inlineStr">
        <is>
          <t>Worst service &amp; worst staff</t>
        </is>
      </c>
      <c r="G243" s="59" t="inlineStr">
        <is>
          <t>Yeh apko dhoka dete hai apke time ki koi value nhi hai inke staff ko location nhi dikhti hai east me book kro west se call karenge kaha ana after 45 minutes worst experience. Aap log pagalo ki tarah wait karte rahoge or samjhoge bas ane wale honge service provider bass usi time apko dhokha de denge ya bolenge reschedule krlo saman nhi ya kharab hai wo kharab hai bht hi ghatiya hai ye sach me 5-10 baar ye ho gaya aaj isliye review dalna padd raha hai jab service nhi de sakte to confirm kyu krte ho. Shame on you</t>
        </is>
      </c>
      <c r="H243" s="9" t="inlineStr">
        <is>
          <t>partner_cancellation</t>
        </is>
      </c>
      <c r="I243" s="9" t="inlineStr">
        <is>
          <t>last_minute_cancel</t>
        </is>
      </c>
      <c r="J243" s="9" t="inlineStr">
        <is>
          <t>delay</t>
        </is>
      </c>
      <c r="K243" s="9" t="inlineStr">
        <is>
          <t>no</t>
        </is>
      </c>
      <c r="L243" s="9" t="inlineStr">
        <is>
          <t>no</t>
        </is>
      </c>
      <c r="M243" s="9" t="inlineStr">
        <is>
          <t>medium</t>
        </is>
      </c>
      <c r="N243" s="9" t="inlineStr">
        <is>
          <t>no</t>
        </is>
      </c>
      <c r="O243" s="9" t="inlineStr">
        <is>
          <t>unknown</t>
        </is>
      </c>
      <c r="P243" s="9" t="inlineStr"/>
      <c r="Q243" s="9" t="n">
        <v>0</v>
      </c>
      <c r="R243" s="59" t="inlineStr">
        <is>
          <t>service provider bass usi time apko dhokha de denge ya bolenge reschedule krlo saman nhi ya kharab hai</t>
        </is>
      </c>
      <c r="S243" s="9" t="inlineStr">
        <is>
          <t>partner_cancellation</t>
        </is>
      </c>
      <c r="T243" s="9" t="inlineStr">
        <is>
          <t>partner_cancellation</t>
        </is>
      </c>
      <c r="U243" s="59" t="inlineStr"/>
    </row>
    <row r="244">
      <c r="A244" s="9" t="n">
        <v>243</v>
      </c>
      <c r="B244" s="58" t="n">
        <v>46262</v>
      </c>
      <c r="C244" s="9" t="str">
        <f>TEXT(B244,"yyyy-mm")</f>
        <v>2026-08</v>
      </c>
      <c r="D244" s="9" t="n">
        <v>1</v>
      </c>
      <c r="E244" s="9" t="inlineStr">
        <is>
          <t>18.7.0</t>
        </is>
      </c>
      <c r="F244" s="59" t="inlineStr">
        <is>
          <t>Very unprofessional</t>
        </is>
      </c>
      <c r="G244" s="59" t="inlineStr">
        <is>
          <t>Don’t know how to talk with customers.</t>
        </is>
      </c>
      <c r="H244" s="9" t="inlineStr">
        <is>
          <t>service_quality</t>
        </is>
      </c>
      <c r="I244" s="9" t="inlineStr">
        <is>
          <t>rude_behaviour</t>
        </is>
      </c>
      <c r="J244" s="9" t="inlineStr"/>
      <c r="K244" s="9" t="inlineStr">
        <is>
          <t>no</t>
        </is>
      </c>
      <c r="L244" s="9" t="inlineStr">
        <is>
          <t>no</t>
        </is>
      </c>
      <c r="M244" s="9" t="inlineStr">
        <is>
          <t>low</t>
        </is>
      </c>
      <c r="N244" s="9" t="inlineStr">
        <is>
          <t>no</t>
        </is>
      </c>
      <c r="O244" s="9" t="inlineStr">
        <is>
          <t>unknown</t>
        </is>
      </c>
      <c r="P244" s="9" t="inlineStr"/>
      <c r="Q244" s="9" t="n">
        <v>0</v>
      </c>
      <c r="R244" s="59" t="inlineStr">
        <is>
          <t>Very unprofessional Don’t know how to talk with customers.</t>
        </is>
      </c>
      <c r="S244" s="9" t="inlineStr">
        <is>
          <t>service_quality</t>
        </is>
      </c>
      <c r="T244" s="9" t="inlineStr">
        <is>
          <t>service_quality</t>
        </is>
      </c>
      <c r="U244" s="59" t="inlineStr"/>
    </row>
    <row r="245">
      <c r="A245" s="9" t="n">
        <v>244</v>
      </c>
      <c r="B245" s="58" t="n">
        <v>46262</v>
      </c>
      <c r="C245" s="9" t="str">
        <f>TEXT(B245,"yyyy-mm")</f>
        <v>2026-08</v>
      </c>
      <c r="D245" s="9" t="n">
        <v>2</v>
      </c>
      <c r="E245" s="9" t="inlineStr">
        <is>
          <t>18.7.0</t>
        </is>
      </c>
      <c r="F245" s="59" t="inlineStr">
        <is>
          <t>Worst</t>
        </is>
      </c>
      <c r="G245" s="59" t="inlineStr">
        <is>
          <t>They hired new people who don’t know how to wax even , professional took 5 hours just to do wax</t>
        </is>
      </c>
      <c r="H245" s="9" t="inlineStr">
        <is>
          <t>service_quality</t>
        </is>
      </c>
      <c r="I245" s="9" t="inlineStr">
        <is>
          <t>poor_skill</t>
        </is>
      </c>
      <c r="J245" s="9" t="inlineStr">
        <is>
          <t>delay</t>
        </is>
      </c>
      <c r="K245" s="9" t="inlineStr">
        <is>
          <t>no</t>
        </is>
      </c>
      <c r="L245" s="9" t="inlineStr">
        <is>
          <t>no</t>
        </is>
      </c>
      <c r="M245" s="9" t="inlineStr">
        <is>
          <t>medium</t>
        </is>
      </c>
      <c r="N245" s="9" t="inlineStr">
        <is>
          <t>no</t>
        </is>
      </c>
      <c r="O245" s="9" t="inlineStr">
        <is>
          <t>waxing</t>
        </is>
      </c>
      <c r="P245" s="9" t="inlineStr"/>
      <c r="Q245" s="9" t="n">
        <v>0</v>
      </c>
      <c r="R245" s="59" t="inlineStr">
        <is>
          <t>They hired new people who don’t know how to wax even , professional took 5 hours just to do wax</t>
        </is>
      </c>
      <c r="S245" s="9" t="inlineStr">
        <is>
          <t>service_quality</t>
        </is>
      </c>
      <c r="T245" s="9" t="inlineStr">
        <is>
          <t>service_quality</t>
        </is>
      </c>
      <c r="U245" s="59" t="inlineStr"/>
    </row>
    <row r="246">
      <c r="A246" s="9" t="n">
        <v>245</v>
      </c>
      <c r="B246" s="58" t="n">
        <v>46261</v>
      </c>
      <c r="C246" s="9" t="str">
        <f>TEXT(B246,"yyyy-mm")</f>
        <v>2026-08</v>
      </c>
      <c r="D246" s="9" t="n">
        <v>5</v>
      </c>
      <c r="E246" s="9" t="inlineStr">
        <is>
          <t>18.7.0</t>
        </is>
      </c>
      <c r="F246" s="59" t="inlineStr">
        <is>
          <t>Instant Service is a FAKE COMMITMENTS</t>
        </is>
      </c>
      <c r="G246" s="59" t="inlineStr">
        <is>
          <t>I selected for an Instant Massage Service but their professional denied to come at my preferred time and she  got the service delayed by 1 hr. 
I chose Yes Madam over Urban Clap because they promise for Instant Services. But it’s all fake, cause I have faced this issue multiple times.</t>
        </is>
      </c>
      <c r="H246" s="9" t="inlineStr">
        <is>
          <t>delay</t>
        </is>
      </c>
      <c r="I246" s="9" t="inlineStr">
        <is>
          <t>late_arrival</t>
        </is>
      </c>
      <c r="J246" s="9" t="inlineStr"/>
      <c r="K246" s="9" t="inlineStr">
        <is>
          <t>no</t>
        </is>
      </c>
      <c r="L246" s="9" t="inlineStr">
        <is>
          <t>no</t>
        </is>
      </c>
      <c r="M246" s="9" t="inlineStr">
        <is>
          <t>medium</t>
        </is>
      </c>
      <c r="N246" s="9" t="inlineStr">
        <is>
          <t>no</t>
        </is>
      </c>
      <c r="O246" s="9" t="inlineStr">
        <is>
          <t>massage_spa</t>
        </is>
      </c>
      <c r="P246" s="9" t="inlineStr"/>
      <c r="Q246" s="9" t="n">
        <v>0</v>
      </c>
      <c r="R246" s="59" t="inlineStr">
        <is>
          <t>their professional denied to come at my preferred time and she got the service delayed by 1 hr.</t>
        </is>
      </c>
      <c r="S246" s="9" t="inlineStr">
        <is>
          <t>delay</t>
        </is>
      </c>
      <c r="T246" s="9" t="inlineStr">
        <is>
          <t>delay</t>
        </is>
      </c>
      <c r="U246" s="59" t="inlineStr"/>
    </row>
    <row r="247">
      <c r="A247" s="9" t="n">
        <v>246</v>
      </c>
      <c r="B247" s="58" t="n">
        <v>46261</v>
      </c>
      <c r="C247" s="9" t="str">
        <f>TEXT(B247,"yyyy-mm")</f>
        <v>2026-08</v>
      </c>
      <c r="D247" s="9" t="n">
        <v>1</v>
      </c>
      <c r="E247" s="9" t="inlineStr">
        <is>
          <t>18.7.0</t>
        </is>
      </c>
      <c r="F247" s="59" t="inlineStr">
        <is>
          <t>Not sure who is giving 4 star</t>
        </is>
      </c>
      <c r="G247" s="59" t="inlineStr">
        <is>
          <t>Service is really below average and not with standard</t>
        </is>
      </c>
      <c r="H247" s="9" t="inlineStr">
        <is>
          <t>other</t>
        </is>
      </c>
      <c r="I247" s="9" t="inlineStr">
        <is>
          <t>unclear</t>
        </is>
      </c>
      <c r="J247" s="9" t="inlineStr"/>
      <c r="K247" s="9" t="inlineStr">
        <is>
          <t>no</t>
        </is>
      </c>
      <c r="L247" s="9" t="inlineStr">
        <is>
          <t>no</t>
        </is>
      </c>
      <c r="M247" s="9" t="inlineStr">
        <is>
          <t>low</t>
        </is>
      </c>
      <c r="N247" s="9" t="inlineStr">
        <is>
          <t>no</t>
        </is>
      </c>
      <c r="O247" s="9" t="inlineStr">
        <is>
          <t>unknown</t>
        </is>
      </c>
      <c r="P247" s="9" t="inlineStr"/>
      <c r="Q247" s="9" t="n">
        <v>0</v>
      </c>
      <c r="R247" s="59" t="inlineStr">
        <is>
          <t>Service is really below average and not with standard</t>
        </is>
      </c>
      <c r="S247" s="9" t="inlineStr">
        <is>
          <t>other</t>
        </is>
      </c>
      <c r="T247" s="9" t="inlineStr">
        <is>
          <t>other</t>
        </is>
      </c>
      <c r="U247" s="59" t="inlineStr"/>
    </row>
    <row r="248">
      <c r="A248" s="9" t="n">
        <v>247</v>
      </c>
      <c r="B248" s="58" t="n">
        <v>46261</v>
      </c>
      <c r="C248" s="9" t="str">
        <f>TEXT(B248,"yyyy-mm")</f>
        <v>2026-08</v>
      </c>
      <c r="D248" s="9" t="n">
        <v>1</v>
      </c>
      <c r="E248" s="9" t="inlineStr">
        <is>
          <t>18.7.0</t>
        </is>
      </c>
      <c r="F248" s="59" t="inlineStr">
        <is>
          <t>Pathetic</t>
        </is>
      </c>
      <c r="G248" s="59" t="inlineStr">
        <is>
          <t>This is the first time i booked from yes madam. I kept waiting for 1 hour after the spot time. Then i contacted the customer support. They told me that the executive has declined because of health issues without any information to me. Noone informed me. Pathetic experience and such a waste of time</t>
        </is>
      </c>
      <c r="H248" s="9" t="inlineStr">
        <is>
          <t>partner_cancellation</t>
        </is>
      </c>
      <c r="I248" s="9" t="inlineStr">
        <is>
          <t>no_show</t>
        </is>
      </c>
      <c r="J248" s="9" t="inlineStr">
        <is>
          <t>delay</t>
        </is>
      </c>
      <c r="K248" s="9" t="inlineStr">
        <is>
          <t>yes</t>
        </is>
      </c>
      <c r="L248" s="9" t="inlineStr">
        <is>
          <t>no</t>
        </is>
      </c>
      <c r="M248" s="9" t="inlineStr">
        <is>
          <t>medium</t>
        </is>
      </c>
      <c r="N248" s="9" t="inlineStr">
        <is>
          <t>no</t>
        </is>
      </c>
      <c r="O248" s="9" t="inlineStr">
        <is>
          <t>unknown</t>
        </is>
      </c>
      <c r="P248" s="9" t="inlineStr"/>
      <c r="Q248" s="9" t="n">
        <v>0</v>
      </c>
      <c r="R248" s="59" t="inlineStr">
        <is>
          <t>They told me that the executive has declined because of health issues without any information to me.</t>
        </is>
      </c>
      <c r="S248" s="9" t="inlineStr">
        <is>
          <t>partner_cancellation</t>
        </is>
      </c>
      <c r="T248" s="9" t="inlineStr">
        <is>
          <t>partner_cancellation</t>
        </is>
      </c>
      <c r="U248" s="59" t="inlineStr"/>
    </row>
    <row r="249">
      <c r="A249" s="9" t="n">
        <v>248</v>
      </c>
      <c r="B249" s="58" t="n">
        <v>46260</v>
      </c>
      <c r="C249" s="9" t="str">
        <f>TEXT(B249,"yyyy-mm")</f>
        <v>2026-08</v>
      </c>
      <c r="D249" s="9" t="n">
        <v>1</v>
      </c>
      <c r="E249" s="9" t="inlineStr">
        <is>
          <t>18.7.0</t>
        </is>
      </c>
      <c r="F249" s="59" t="inlineStr">
        <is>
          <t>Terrible service</t>
        </is>
      </c>
      <c r="G249" s="59" t="inlineStr">
        <is>
          <t>The professionals can do what they want to no support the customer is on his own booked a service where the time was less hygine was very bad the so called disposables were reused a d the support just takes feedback thts all no resolution</t>
        </is>
      </c>
      <c r="H249" s="9" t="inlineStr">
        <is>
          <t>service_quality</t>
        </is>
      </c>
      <c r="I249" s="9" t="inlineStr">
        <is>
          <t>hygiene</t>
        </is>
      </c>
      <c r="J249" s="9" t="inlineStr">
        <is>
          <t>support</t>
        </is>
      </c>
      <c r="K249" s="9" t="inlineStr">
        <is>
          <t>yes</t>
        </is>
      </c>
      <c r="L249" s="9" t="inlineStr">
        <is>
          <t>yes</t>
        </is>
      </c>
      <c r="M249" s="9" t="inlineStr">
        <is>
          <t>medium</t>
        </is>
      </c>
      <c r="N249" s="9" t="inlineStr">
        <is>
          <t>no</t>
        </is>
      </c>
      <c r="O249" s="9" t="inlineStr">
        <is>
          <t>unknown</t>
        </is>
      </c>
      <c r="P249" s="9" t="inlineStr"/>
      <c r="Q249" s="9" t="n">
        <v>0</v>
      </c>
      <c r="R249" s="59" t="inlineStr">
        <is>
          <t>booked a service where the time was less hygine was very bad the so called disposables were reused</t>
        </is>
      </c>
      <c r="S249" s="9" t="inlineStr">
        <is>
          <t>service_quality</t>
        </is>
      </c>
      <c r="T249" s="9" t="inlineStr">
        <is>
          <t>service_quality</t>
        </is>
      </c>
      <c r="U249" s="59" t="inlineStr"/>
    </row>
    <row r="250">
      <c r="A250" s="9" t="n">
        <v>249</v>
      </c>
      <c r="B250" s="58" t="n">
        <v>46260</v>
      </c>
      <c r="C250" s="9" t="str">
        <f>TEXT(B250,"yyyy-mm")</f>
        <v>2026-08</v>
      </c>
      <c r="D250" s="9" t="n">
        <v>5</v>
      </c>
      <c r="E250" s="9" t="inlineStr">
        <is>
          <t>18.7.0</t>
        </is>
      </c>
      <c r="F250" s="59" t="inlineStr">
        <is>
          <t>Convenience</t>
        </is>
      </c>
      <c r="G250" s="59" t="inlineStr">
        <is>
          <t>With the help of Yes Madam the service  is so easy and relaible at your door step with good product and work.</t>
        </is>
      </c>
      <c r="H250" s="9" t="inlineStr">
        <is>
          <t>praise</t>
        </is>
      </c>
      <c r="I250" s="9" t="inlineStr">
        <is>
          <t>praise_service</t>
        </is>
      </c>
      <c r="J250" s="9" t="inlineStr"/>
      <c r="K250" s="9" t="inlineStr">
        <is>
          <t>no</t>
        </is>
      </c>
      <c r="L250" s="9" t="inlineStr">
        <is>
          <t>no</t>
        </is>
      </c>
      <c r="M250" s="9" t="inlineStr">
        <is>
          <t>none</t>
        </is>
      </c>
      <c r="N250" s="9" t="inlineStr">
        <is>
          <t>no</t>
        </is>
      </c>
      <c r="O250" s="9" t="inlineStr">
        <is>
          <t>unknown</t>
        </is>
      </c>
      <c r="P250" s="9" t="inlineStr"/>
      <c r="Q250" s="9" t="n">
        <v>0</v>
      </c>
      <c r="R250" s="59" t="inlineStr">
        <is>
          <t>the service is so easy and relaible at your door step with good product and work.</t>
        </is>
      </c>
      <c r="S250" s="9" t="inlineStr">
        <is>
          <t>praise</t>
        </is>
      </c>
      <c r="T250" s="9" t="inlineStr">
        <is>
          <t>praise</t>
        </is>
      </c>
      <c r="U250" s="59" t="inlineStr"/>
    </row>
    <row r="251">
      <c r="A251" s="9" t="n">
        <v>250</v>
      </c>
      <c r="B251" s="58" t="n">
        <v>46260</v>
      </c>
      <c r="C251" s="9" t="str">
        <f>TEXT(B251,"yyyy-mm")</f>
        <v>2026-08</v>
      </c>
      <c r="D251" s="9" t="n">
        <v>1</v>
      </c>
      <c r="E251" s="9" t="inlineStr">
        <is>
          <t>18.7.0</t>
        </is>
      </c>
      <c r="F251" s="59" t="inlineStr">
        <is>
          <t>Spa</t>
        </is>
      </c>
      <c r="G251" s="59" t="inlineStr">
        <is>
          <t>I booked a Spa for today, waited 2-3 hours when I called they told the person who it was assigned has rejected can i book for tomorrow, I told to cancel.
There is no decency to call and let the person know the status. number is also hidden.
deleting app permanently🙌🏻</t>
        </is>
      </c>
      <c r="H251" s="9" t="inlineStr">
        <is>
          <t>partner_cancellation</t>
        </is>
      </c>
      <c r="I251" s="9" t="inlineStr">
        <is>
          <t>no_show</t>
        </is>
      </c>
      <c r="J251" s="9" t="inlineStr">
        <is>
          <t>delay</t>
        </is>
      </c>
      <c r="K251" s="9" t="inlineStr">
        <is>
          <t>yes</t>
        </is>
      </c>
      <c r="L251" s="9" t="inlineStr">
        <is>
          <t>no</t>
        </is>
      </c>
      <c r="M251" s="9" t="inlineStr">
        <is>
          <t>medium</t>
        </is>
      </c>
      <c r="N251" s="9" t="inlineStr">
        <is>
          <t>yes</t>
        </is>
      </c>
      <c r="O251" s="9" t="inlineStr">
        <is>
          <t>massage_spa</t>
        </is>
      </c>
      <c r="P251" s="9" t="inlineStr"/>
      <c r="Q251" s="9" t="n">
        <v>0</v>
      </c>
      <c r="R251" s="59" t="inlineStr">
        <is>
          <t>waited 2-3 hours when I called they told the person who it was assigned has rejected</t>
        </is>
      </c>
      <c r="S251" s="9" t="inlineStr">
        <is>
          <t>partner_cancellation</t>
        </is>
      </c>
      <c r="T251" s="9" t="inlineStr">
        <is>
          <t>partner_cancellation</t>
        </is>
      </c>
      <c r="U251" s="59" t="inlineStr"/>
    </row>
    <row r="252">
      <c r="A252" s="9" t="n">
        <v>251</v>
      </c>
      <c r="B252" s="58" t="n">
        <v>46260</v>
      </c>
      <c r="C252" s="9" t="str">
        <f>TEXT(B252,"yyyy-mm")</f>
        <v>2026-08</v>
      </c>
      <c r="D252" s="9" t="n">
        <v>1</v>
      </c>
      <c r="E252" s="9" t="inlineStr">
        <is>
          <t>18.7.0</t>
        </is>
      </c>
      <c r="F252" s="59" t="inlineStr">
        <is>
          <t>Unsafe, Unprofessional and Worst Pedicure Experience Ever - Avoid Ye</t>
        </is>
      </c>
      <c r="G252" s="59" t="inlineStr">
        <is>
          <t>*TERRIBLE EXPERIENCE - AVOID YesMadam Pedicure Service*
Worst pedicure ever. Highly unprofessional and unsafe service.
1. The beautician came without an extension cord. She was pouring boiling hot water directly from the geyser bucket into the tub while my feet were inside. This could have caused a serious burn. Extremely unsafe.
2. Zero knowledge of massage. She was just rubbing and folding skin with her fingers, no technique, no pressure. Felt like a complete beginner.
3. Worst part is the attitude. Instead of apologizing, she started arguing that this is how YesMadam does pedicure and they never bring an extension cord.
Complete waste of money. No hygiene, no professionalism, no skill. Will never book YesMadam again and will not recommend to anyone.</t>
        </is>
      </c>
      <c r="H252" s="9" t="inlineStr">
        <is>
          <t>service_quality</t>
        </is>
      </c>
      <c r="I252" s="9" t="inlineStr">
        <is>
          <t>safety_or_theft</t>
        </is>
      </c>
      <c r="J252" s="9" t="inlineStr"/>
      <c r="K252" s="9" t="inlineStr">
        <is>
          <t>no</t>
        </is>
      </c>
      <c r="L252" s="9" t="inlineStr">
        <is>
          <t>no</t>
        </is>
      </c>
      <c r="M252" s="9" t="inlineStr">
        <is>
          <t>high</t>
        </is>
      </c>
      <c r="N252" s="9" t="inlineStr">
        <is>
          <t>yes</t>
        </is>
      </c>
      <c r="O252" s="9" t="inlineStr">
        <is>
          <t>mani_pedi</t>
        </is>
      </c>
      <c r="P252" s="9" t="inlineStr"/>
      <c r="Q252" s="9" t="n">
        <v>0</v>
      </c>
      <c r="R252" s="59" t="inlineStr">
        <is>
          <t>She was pouring boiling hot water directly from the geyser bucket into the tub while my feet were inside.</t>
        </is>
      </c>
      <c r="S252" s="9" t="inlineStr">
        <is>
          <t>service_quality</t>
        </is>
      </c>
      <c r="T252" s="9" t="inlineStr">
        <is>
          <t>service_quality</t>
        </is>
      </c>
      <c r="U252" s="59" t="inlineStr"/>
    </row>
    <row r="253">
      <c r="A253" s="9" t="n">
        <v>252</v>
      </c>
      <c r="B253" s="58" t="n">
        <v>46260</v>
      </c>
      <c r="C253" s="9" t="str">
        <f>TEXT(B253,"yyyy-mm")</f>
        <v>2026-08</v>
      </c>
      <c r="D253" s="9" t="n">
        <v>5</v>
      </c>
      <c r="E253" s="9" t="inlineStr">
        <is>
          <t>18.7.0</t>
        </is>
      </c>
      <c r="F253" s="59" t="inlineStr">
        <is>
          <t>Good and hygienic</t>
        </is>
      </c>
      <c r="G253" s="59" t="inlineStr">
        <is>
          <t>Good service</t>
        </is>
      </c>
      <c r="H253" s="9" t="inlineStr">
        <is>
          <t>praise</t>
        </is>
      </c>
      <c r="I253" s="9" t="inlineStr">
        <is>
          <t>praise_service</t>
        </is>
      </c>
      <c r="J253" s="9" t="inlineStr"/>
      <c r="K253" s="9" t="inlineStr">
        <is>
          <t>no</t>
        </is>
      </c>
      <c r="L253" s="9" t="inlineStr">
        <is>
          <t>no</t>
        </is>
      </c>
      <c r="M253" s="9" t="inlineStr">
        <is>
          <t>none</t>
        </is>
      </c>
      <c r="N253" s="9" t="inlineStr">
        <is>
          <t>no</t>
        </is>
      </c>
      <c r="O253" s="9" t="inlineStr">
        <is>
          <t>unknown</t>
        </is>
      </c>
      <c r="P253" s="9" t="inlineStr"/>
      <c r="Q253" s="9" t="n">
        <v>0</v>
      </c>
      <c r="R253" s="59" t="inlineStr">
        <is>
          <t>Good and hygienic Good service</t>
        </is>
      </c>
      <c r="S253" s="9" t="inlineStr">
        <is>
          <t>praise</t>
        </is>
      </c>
      <c r="T253" s="9" t="inlineStr">
        <is>
          <t>praise</t>
        </is>
      </c>
      <c r="U253" s="59" t="inlineStr"/>
    </row>
    <row r="254">
      <c r="A254" s="9" t="n">
        <v>253</v>
      </c>
      <c r="B254" s="58" t="n">
        <v>46260</v>
      </c>
      <c r="C254" s="9" t="str">
        <f>TEXT(B254,"yyyy-mm")</f>
        <v>2026-08</v>
      </c>
      <c r="D254" s="9" t="n">
        <v>1</v>
      </c>
      <c r="E254" s="9" t="inlineStr">
        <is>
          <t>18.7.0</t>
        </is>
      </c>
      <c r="F254" s="59" t="inlineStr">
        <is>
          <t>App is so complicated</t>
        </is>
      </c>
      <c r="G254" s="59" t="inlineStr">
        <is>
          <t>The service is good but for mext trip the do the things in fast mood</t>
        </is>
      </c>
      <c r="H254" s="9" t="inlineStr">
        <is>
          <t>service_quality</t>
        </is>
      </c>
      <c r="I254" s="9" t="inlineStr">
        <is>
          <t>rushed_or_incomplete</t>
        </is>
      </c>
      <c r="J254" s="9" t="inlineStr">
        <is>
          <t>app</t>
        </is>
      </c>
      <c r="K254" s="9" t="inlineStr">
        <is>
          <t>no</t>
        </is>
      </c>
      <c r="L254" s="9" t="inlineStr">
        <is>
          <t>no</t>
        </is>
      </c>
      <c r="M254" s="9" t="inlineStr">
        <is>
          <t>low</t>
        </is>
      </c>
      <c r="N254" s="9" t="inlineStr">
        <is>
          <t>no</t>
        </is>
      </c>
      <c r="O254" s="9" t="inlineStr">
        <is>
          <t>unknown</t>
        </is>
      </c>
      <c r="P254" s="9" t="inlineStr"/>
      <c r="Q254" s="9" t="n">
        <v>0</v>
      </c>
      <c r="R254" s="59" t="inlineStr">
        <is>
          <t>The service is good but for mext trip the do the things in fast mood</t>
        </is>
      </c>
      <c r="S254" s="9" t="inlineStr">
        <is>
          <t>service_quality</t>
        </is>
      </c>
      <c r="T254" s="9" t="inlineStr">
        <is>
          <t>app</t>
        </is>
      </c>
      <c r="U254" s="59" t="inlineStr">
        <is>
          <t>Body gives the specific complaint: on the next visit the professional did things 'in fast mood' (rushed); the title 'app is so complicated' has no detail, so app is secondary.</t>
        </is>
      </c>
    </row>
    <row r="255">
      <c r="A255" s="9" t="n">
        <v>254</v>
      </c>
      <c r="B255" s="58" t="n">
        <v>46260</v>
      </c>
      <c r="C255" s="9" t="str">
        <f>TEXT(B255,"yyyy-mm")</f>
        <v>2026-08</v>
      </c>
      <c r="D255" s="9" t="n">
        <v>1</v>
      </c>
      <c r="E255" s="9" t="inlineStr">
        <is>
          <t>18.7.0</t>
        </is>
      </c>
      <c r="F255" s="59" t="inlineStr">
        <is>
          <t>Worst app</t>
        </is>
      </c>
      <c r="G255" s="59" t="inlineStr">
        <is>
          <t>They never keep up their appointments</t>
        </is>
      </c>
      <c r="H255" s="9" t="inlineStr">
        <is>
          <t>partner_cancellation</t>
        </is>
      </c>
      <c r="I255" s="9" t="inlineStr">
        <is>
          <t>no_show</t>
        </is>
      </c>
      <c r="J255" s="9" t="inlineStr"/>
      <c r="K255" s="9" t="inlineStr">
        <is>
          <t>no</t>
        </is>
      </c>
      <c r="L255" s="9" t="inlineStr">
        <is>
          <t>no</t>
        </is>
      </c>
      <c r="M255" s="9" t="inlineStr">
        <is>
          <t>medium</t>
        </is>
      </c>
      <c r="N255" s="9" t="inlineStr">
        <is>
          <t>no</t>
        </is>
      </c>
      <c r="O255" s="9" t="inlineStr">
        <is>
          <t>unknown</t>
        </is>
      </c>
      <c r="P255" s="9" t="inlineStr"/>
      <c r="Q255" s="9" t="n">
        <v>0</v>
      </c>
      <c r="R255" s="59" t="inlineStr">
        <is>
          <t>Worst app They never keep up their appointments</t>
        </is>
      </c>
      <c r="S255" s="9" t="inlineStr">
        <is>
          <t>partner_cancellation</t>
        </is>
      </c>
      <c r="T255" s="9" t="inlineStr">
        <is>
          <t>partner_cancellation</t>
        </is>
      </c>
      <c r="U255" s="59" t="inlineStr"/>
    </row>
    <row r="256">
      <c r="A256" s="9" t="n">
        <v>255</v>
      </c>
      <c r="B256" s="58" t="n">
        <v>46260</v>
      </c>
      <c r="C256" s="9" t="str">
        <f>TEXT(B256,"yyyy-mm")</f>
        <v>2026-08</v>
      </c>
      <c r="D256" s="9" t="n">
        <v>1</v>
      </c>
      <c r="E256" s="9" t="inlineStr">
        <is>
          <t>18.7.0</t>
        </is>
      </c>
      <c r="F256" s="59" t="inlineStr">
        <is>
          <t>Rica roll on wax</t>
        </is>
      </c>
      <c r="G256" s="59" t="inlineStr">
        <is>
          <t>Product insufficient</t>
        </is>
      </c>
      <c r="H256" s="9" t="inlineStr">
        <is>
          <t>product_fit</t>
        </is>
      </c>
      <c r="I256" s="9" t="inlineStr">
        <is>
          <t>missing_or_wrong_products</t>
        </is>
      </c>
      <c r="J256" s="9" t="inlineStr"/>
      <c r="K256" s="9" t="inlineStr">
        <is>
          <t>no</t>
        </is>
      </c>
      <c r="L256" s="9" t="inlineStr">
        <is>
          <t>no</t>
        </is>
      </c>
      <c r="M256" s="9" t="inlineStr">
        <is>
          <t>low</t>
        </is>
      </c>
      <c r="N256" s="9" t="inlineStr">
        <is>
          <t>no</t>
        </is>
      </c>
      <c r="O256" s="9" t="inlineStr">
        <is>
          <t>waxing</t>
        </is>
      </c>
      <c r="P256" s="9" t="inlineStr"/>
      <c r="Q256" s="9" t="n">
        <v>0</v>
      </c>
      <c r="R256" s="59" t="inlineStr">
        <is>
          <t>Rica roll on wax Product insufficient</t>
        </is>
      </c>
      <c r="S256" s="9" t="inlineStr">
        <is>
          <t>product_fit</t>
        </is>
      </c>
      <c r="T256" s="9" t="inlineStr">
        <is>
          <t>product_fit</t>
        </is>
      </c>
      <c r="U256" s="59" t="inlineStr"/>
    </row>
    <row r="257">
      <c r="A257" s="9" t="n">
        <v>256</v>
      </c>
      <c r="B257" s="58" t="n">
        <v>46259</v>
      </c>
      <c r="C257" s="9" t="str">
        <f>TEXT(B257,"yyyy-mm")</f>
        <v>2026-08</v>
      </c>
      <c r="D257" s="9" t="n">
        <v>1</v>
      </c>
      <c r="E257" s="9" t="inlineStr">
        <is>
          <t>18.7.0</t>
        </is>
      </c>
      <c r="F257" s="59" t="inlineStr">
        <is>
          <t>Worst customer service</t>
        </is>
      </c>
      <c r="G257" s="59" t="inlineStr">
        <is>
          <t>Worst customer service, no escalation matrix in case  professional doesn’t show up on booked time.
People do booking considering schedules entire day gets ruined. Rating option should be there even though service did proceed for such cases to check professionals punctuality and professional conduct.</t>
        </is>
      </c>
      <c r="H257" s="9" t="inlineStr">
        <is>
          <t>partner_cancellation</t>
        </is>
      </c>
      <c r="I257" s="9" t="inlineStr">
        <is>
          <t>no_show</t>
        </is>
      </c>
      <c r="J257" s="9" t="inlineStr">
        <is>
          <t>support</t>
        </is>
      </c>
      <c r="K257" s="9" t="inlineStr">
        <is>
          <t>yes</t>
        </is>
      </c>
      <c r="L257" s="9" t="inlineStr">
        <is>
          <t>yes</t>
        </is>
      </c>
      <c r="M257" s="9" t="inlineStr">
        <is>
          <t>medium</t>
        </is>
      </c>
      <c r="N257" s="9" t="inlineStr">
        <is>
          <t>no</t>
        </is>
      </c>
      <c r="O257" s="9" t="inlineStr">
        <is>
          <t>unknown</t>
        </is>
      </c>
      <c r="P257" s="9" t="inlineStr"/>
      <c r="Q257" s="9" t="n">
        <v>0</v>
      </c>
      <c r="R257" s="59" t="inlineStr">
        <is>
          <t>Worst customer service, no escalation matrix in case professional doesn’t show up on booked time.</t>
        </is>
      </c>
      <c r="S257" s="9" t="inlineStr">
        <is>
          <t>partner_cancellation</t>
        </is>
      </c>
      <c r="T257" s="9" t="inlineStr">
        <is>
          <t>partner_cancellation</t>
        </is>
      </c>
      <c r="U257" s="59" t="inlineStr"/>
    </row>
    <row r="258">
      <c r="A258" s="9" t="n">
        <v>257</v>
      </c>
      <c r="B258" s="58" t="n">
        <v>46259</v>
      </c>
      <c r="C258" s="9" t="str">
        <f>TEXT(B258,"yyyy-mm")</f>
        <v>2026-08</v>
      </c>
      <c r="D258" s="9" t="n">
        <v>5</v>
      </c>
      <c r="E258" s="9" t="inlineStr">
        <is>
          <t>18.7.0</t>
        </is>
      </c>
      <c r="F258" s="59" t="inlineStr">
        <is>
          <t>Facial</t>
        </is>
      </c>
      <c r="G258" s="59" t="inlineStr">
        <is>
          <t>Amazing glow</t>
        </is>
      </c>
      <c r="H258" s="9" t="inlineStr">
        <is>
          <t>praise</t>
        </is>
      </c>
      <c r="I258" s="9" t="inlineStr">
        <is>
          <t>praise_service</t>
        </is>
      </c>
      <c r="J258" s="9" t="inlineStr"/>
      <c r="K258" s="9" t="inlineStr">
        <is>
          <t>no</t>
        </is>
      </c>
      <c r="L258" s="9" t="inlineStr">
        <is>
          <t>no</t>
        </is>
      </c>
      <c r="M258" s="9" t="inlineStr">
        <is>
          <t>none</t>
        </is>
      </c>
      <c r="N258" s="9" t="inlineStr">
        <is>
          <t>no</t>
        </is>
      </c>
      <c r="O258" s="9" t="inlineStr">
        <is>
          <t>facial_cleanup</t>
        </is>
      </c>
      <c r="P258" s="9" t="inlineStr"/>
      <c r="Q258" s="9" t="n">
        <v>0</v>
      </c>
      <c r="R258" s="59" t="inlineStr">
        <is>
          <t>Facial Amazing glow</t>
        </is>
      </c>
      <c r="S258" s="9" t="inlineStr">
        <is>
          <t>praise</t>
        </is>
      </c>
      <c r="T258" s="9" t="inlineStr">
        <is>
          <t>praise</t>
        </is>
      </c>
      <c r="U258" s="59" t="inlineStr"/>
    </row>
    <row r="259">
      <c r="A259" s="9" t="n">
        <v>258</v>
      </c>
      <c r="B259" s="58" t="n">
        <v>46258</v>
      </c>
      <c r="C259" s="9" t="str">
        <f>TEXT(B259,"yyyy-mm")</f>
        <v>2026-08</v>
      </c>
      <c r="D259" s="9" t="n">
        <v>1</v>
      </c>
      <c r="E259" s="9" t="inlineStr">
        <is>
          <t>18.6.0</t>
        </is>
      </c>
      <c r="F259" s="59" t="inlineStr">
        <is>
          <t>Very disappointing experience with yes madam</t>
        </is>
      </c>
      <c r="G259" s="59" t="inlineStr">
        <is>
          <t>After a waxing service, my skin became significantly dark/black and I also developed pimples. I immediately raised a complaint, and your team informed me that a dermatologist consultation would be arranged. However, it has been almost 15 days and I still have not received any appointment details, update, or resolution.
Very disappointing customer service, especially when the issue involves a skin reaction. I expect YesMadam to arrange the dermatologist consultation and provide a proper resolution without any further delay.</t>
        </is>
      </c>
      <c r="H259" s="9" t="inlineStr">
        <is>
          <t>service_quality</t>
        </is>
      </c>
      <c r="I259" s="9" t="inlineStr">
        <is>
          <t>skin_injury_or_reaction</t>
        </is>
      </c>
      <c r="J259" s="9" t="inlineStr">
        <is>
          <t>support</t>
        </is>
      </c>
      <c r="K259" s="9" t="inlineStr">
        <is>
          <t>yes</t>
        </is>
      </c>
      <c r="L259" s="9" t="inlineStr">
        <is>
          <t>yes</t>
        </is>
      </c>
      <c r="M259" s="9" t="inlineStr">
        <is>
          <t>high</t>
        </is>
      </c>
      <c r="N259" s="9" t="inlineStr">
        <is>
          <t>no</t>
        </is>
      </c>
      <c r="O259" s="9" t="inlineStr">
        <is>
          <t>waxing</t>
        </is>
      </c>
      <c r="P259" s="9" t="inlineStr"/>
      <c r="Q259" s="9" t="n">
        <v>0</v>
      </c>
      <c r="R259" s="59" t="inlineStr">
        <is>
          <t>After a waxing service, my skin became significantly dark/black and I also developed pimples.</t>
        </is>
      </c>
      <c r="S259" s="9" t="inlineStr">
        <is>
          <t>service_quality</t>
        </is>
      </c>
      <c r="T259" s="9" t="inlineStr">
        <is>
          <t>service_quality</t>
        </is>
      </c>
      <c r="U259" s="59" t="inlineStr"/>
    </row>
    <row r="260">
      <c r="A260" s="9" t="n">
        <v>259</v>
      </c>
      <c r="B260" s="58" t="n">
        <v>46258</v>
      </c>
      <c r="C260" s="9" t="str">
        <f>TEXT(B260,"yyyy-mm")</f>
        <v>2026-08</v>
      </c>
      <c r="D260" s="9" t="n">
        <v>1</v>
      </c>
      <c r="E260" s="9" t="inlineStr">
        <is>
          <t>18.6.0</t>
        </is>
      </c>
      <c r="F260" s="59" t="inlineStr">
        <is>
          <t>Good App, Poor service</t>
        </is>
      </c>
      <c r="G260" s="59" t="inlineStr">
        <is>
          <t>Use the services at your own risk, the quality of beauticians is very poor and customer service recovery is pathetic.</t>
        </is>
      </c>
      <c r="H260" s="9" t="inlineStr">
        <is>
          <t>service_quality</t>
        </is>
      </c>
      <c r="I260" s="9" t="inlineStr">
        <is>
          <t>poor_skill</t>
        </is>
      </c>
      <c r="J260" s="9" t="inlineStr">
        <is>
          <t>support</t>
        </is>
      </c>
      <c r="K260" s="9" t="inlineStr">
        <is>
          <t>yes</t>
        </is>
      </c>
      <c r="L260" s="9" t="inlineStr">
        <is>
          <t>yes</t>
        </is>
      </c>
      <c r="M260" s="9" t="inlineStr">
        <is>
          <t>medium</t>
        </is>
      </c>
      <c r="N260" s="9" t="inlineStr">
        <is>
          <t>no</t>
        </is>
      </c>
      <c r="O260" s="9" t="inlineStr">
        <is>
          <t>unknown</t>
        </is>
      </c>
      <c r="P260" s="9" t="inlineStr"/>
      <c r="Q260" s="9" t="n">
        <v>0</v>
      </c>
      <c r="R260" s="59" t="inlineStr">
        <is>
          <t>Use the services at your own risk, the quality of beauticians is very poor and customer service recovery is pathetic.</t>
        </is>
      </c>
      <c r="S260" s="9" t="inlineStr">
        <is>
          <t>service_quality</t>
        </is>
      </c>
      <c r="T260" s="9" t="inlineStr">
        <is>
          <t>service_quality</t>
        </is>
      </c>
      <c r="U260" s="59" t="inlineStr"/>
    </row>
    <row r="261">
      <c r="A261" s="9" t="n">
        <v>260</v>
      </c>
      <c r="B261" s="58" t="n">
        <v>46258</v>
      </c>
      <c r="C261" s="9" t="str">
        <f>TEXT(B261,"yyyy-mm")</f>
        <v>2026-08</v>
      </c>
      <c r="D261" s="9" t="n">
        <v>1</v>
      </c>
      <c r="E261" s="9" t="inlineStr">
        <is>
          <t>18.6.0</t>
        </is>
      </c>
      <c r="F261" s="59" t="inlineStr">
        <is>
          <t>One of the worst app.</t>
        </is>
      </c>
      <c r="G261" s="59" t="inlineStr">
        <is>
          <t>Recently I had made my first booking on yes madam purely because I wanted to explore an alternative to Urban Company. I had been seeing multiple advertisements of this app and was intrigued with the commitments they made.
But I can honestly say that it was one of my worst decision. 
The products used were of extremely poor quality. Their professionals were not trained properly and the app is not user friendly.
I had booked multiple services (waxing, facial, massage etc) and have spent a heavy amount. Even after spending so much, I remain dissatisfied with the quality of the app.
Urban Company surpasses you by leaps and bounds. Please invest more in training of professionals and better product quality.</t>
        </is>
      </c>
      <c r="H261" s="9" t="inlineStr">
        <is>
          <t>product_fit</t>
        </is>
      </c>
      <c r="I261" s="9" t="inlineStr">
        <is>
          <t>product_quality</t>
        </is>
      </c>
      <c r="J261" s="9" t="inlineStr">
        <is>
          <t>service_quality, app</t>
        </is>
      </c>
      <c r="K261" s="9" t="inlineStr">
        <is>
          <t>no</t>
        </is>
      </c>
      <c r="L261" s="9" t="inlineStr">
        <is>
          <t>no</t>
        </is>
      </c>
      <c r="M261" s="9" t="inlineStr">
        <is>
          <t>medium</t>
        </is>
      </c>
      <c r="N261" s="9" t="inlineStr">
        <is>
          <t>no</t>
        </is>
      </c>
      <c r="O261" s="9" t="inlineStr">
        <is>
          <t>multiple</t>
        </is>
      </c>
      <c r="P261" s="9" t="inlineStr"/>
      <c r="Q261" s="9" t="n">
        <v>0</v>
      </c>
      <c r="R261" s="59" t="inlineStr">
        <is>
          <t>The products used were of extremely poor quality. Their professionals were not trained properly and the app is not user friendly.</t>
        </is>
      </c>
      <c r="S261" s="9" t="inlineStr">
        <is>
          <t>product_fit</t>
        </is>
      </c>
      <c r="T261" s="9" t="inlineStr">
        <is>
          <t>product_fit</t>
        </is>
      </c>
      <c r="U261" s="59" t="inlineStr"/>
    </row>
    <row r="262">
      <c r="A262" s="9" t="n">
        <v>261</v>
      </c>
      <c r="B262" s="58" t="n">
        <v>46258</v>
      </c>
      <c r="C262" s="9" t="str">
        <f>TEXT(B262,"yyyy-mm")</f>
        <v>2026-08</v>
      </c>
      <c r="D262" s="9" t="n">
        <v>5</v>
      </c>
      <c r="E262" s="9" t="inlineStr">
        <is>
          <t>18.6.0</t>
        </is>
      </c>
      <c r="F262" s="59" t="inlineStr">
        <is>
          <t>Exceptional Service</t>
        </is>
      </c>
      <c r="G262" s="59" t="inlineStr">
        <is>
          <t>Good competition for Urban Company</t>
        </is>
      </c>
      <c r="H262" s="9" t="inlineStr">
        <is>
          <t>praise</t>
        </is>
      </c>
      <c r="I262" s="9" t="inlineStr">
        <is>
          <t>praise_service</t>
        </is>
      </c>
      <c r="J262" s="9" t="inlineStr"/>
      <c r="K262" s="9" t="inlineStr">
        <is>
          <t>no</t>
        </is>
      </c>
      <c r="L262" s="9" t="inlineStr">
        <is>
          <t>no</t>
        </is>
      </c>
      <c r="M262" s="9" t="inlineStr">
        <is>
          <t>none</t>
        </is>
      </c>
      <c r="N262" s="9" t="inlineStr">
        <is>
          <t>no</t>
        </is>
      </c>
      <c r="O262" s="9" t="inlineStr">
        <is>
          <t>unknown</t>
        </is>
      </c>
      <c r="P262" s="9" t="inlineStr"/>
      <c r="Q262" s="9" t="n">
        <v>0</v>
      </c>
      <c r="R262" s="59" t="inlineStr">
        <is>
          <t>Exceptional Service Good competition for Urban Company</t>
        </is>
      </c>
      <c r="S262" s="9" t="inlineStr">
        <is>
          <t>praise</t>
        </is>
      </c>
      <c r="T262" s="9" t="inlineStr">
        <is>
          <t>praise</t>
        </is>
      </c>
      <c r="U262" s="59" t="inlineStr"/>
    </row>
    <row r="263">
      <c r="A263" s="9" t="n">
        <v>262</v>
      </c>
      <c r="B263" s="58" t="n">
        <v>46258</v>
      </c>
      <c r="C263" s="9" t="str">
        <f>TEXT(B263,"yyyy-mm")</f>
        <v>2026-08</v>
      </c>
      <c r="D263" s="9" t="n">
        <v>1</v>
      </c>
      <c r="E263" s="9" t="inlineStr">
        <is>
          <t>18.6.0</t>
        </is>
      </c>
      <c r="F263" s="59" t="inlineStr">
        <is>
          <t>Worst service platform</t>
        </is>
      </c>
      <c r="G263" s="59" t="inlineStr">
        <is>
          <t>App works fine but working professionals are not reliable. They keep rescheduling your appointment and no one shows up ever. Only spam calls from their call centre.
I would never book with them again. I would suggest to go with other service platforms available.</t>
        </is>
      </c>
      <c r="H263" s="9" t="inlineStr">
        <is>
          <t>partner_cancellation</t>
        </is>
      </c>
      <c r="I263" s="9" t="inlineStr">
        <is>
          <t>repeated_reschedule</t>
        </is>
      </c>
      <c r="J263" s="9" t="inlineStr"/>
      <c r="K263" s="9" t="inlineStr">
        <is>
          <t>no</t>
        </is>
      </c>
      <c r="L263" s="9" t="inlineStr">
        <is>
          <t>no</t>
        </is>
      </c>
      <c r="M263" s="9" t="inlineStr">
        <is>
          <t>medium</t>
        </is>
      </c>
      <c r="N263" s="9" t="inlineStr">
        <is>
          <t>yes</t>
        </is>
      </c>
      <c r="O263" s="9" t="inlineStr">
        <is>
          <t>unknown</t>
        </is>
      </c>
      <c r="P263" s="9" t="inlineStr"/>
      <c r="Q263" s="9" t="n">
        <v>0</v>
      </c>
      <c r="R263" s="59" t="inlineStr">
        <is>
          <t>They keep rescheduling your appointment and no one shows up ever. Only spam calls from their call centre.</t>
        </is>
      </c>
      <c r="S263" s="9" t="inlineStr">
        <is>
          <t>partner_cancellation</t>
        </is>
      </c>
      <c r="T263" s="9" t="inlineStr">
        <is>
          <t>partner_cancellation</t>
        </is>
      </c>
      <c r="U263" s="59" t="inlineStr"/>
    </row>
    <row r="264">
      <c r="A264" s="9" t="n">
        <v>263</v>
      </c>
      <c r="B264" s="58" t="n">
        <v>46257</v>
      </c>
      <c r="C264" s="9" t="str">
        <f>TEXT(B264,"yyyy-mm")</f>
        <v>2026-08</v>
      </c>
      <c r="D264" s="9" t="n">
        <v>1</v>
      </c>
      <c r="E264" s="9" t="inlineStr">
        <is>
          <t>18.6.0</t>
        </is>
      </c>
      <c r="F264" s="59" t="inlineStr">
        <is>
          <t>Pathetic app</t>
        </is>
      </c>
      <c r="G264" s="59" t="inlineStr">
        <is>
          <t>This app is pathetic if you book the service your amount gets deducted from account but booking slot doesn’t reflect as reserved . Urban clap is best and authentic app .</t>
        </is>
      </c>
      <c r="H264" s="9" t="inlineStr">
        <is>
          <t>payment_refund</t>
        </is>
      </c>
      <c r="I264" s="9" t="inlineStr">
        <is>
          <t>charged_not_served</t>
        </is>
      </c>
      <c r="J264" s="9" t="inlineStr">
        <is>
          <t>app</t>
        </is>
      </c>
      <c r="K264" s="9" t="inlineStr">
        <is>
          <t>no</t>
        </is>
      </c>
      <c r="L264" s="9" t="inlineStr">
        <is>
          <t>no</t>
        </is>
      </c>
      <c r="M264" s="9" t="inlineStr">
        <is>
          <t>high</t>
        </is>
      </c>
      <c r="N264" s="9" t="inlineStr">
        <is>
          <t>no</t>
        </is>
      </c>
      <c r="O264" s="9" t="inlineStr">
        <is>
          <t>unknown</t>
        </is>
      </c>
      <c r="P264" s="9" t="inlineStr"/>
      <c r="Q264" s="9" t="n">
        <v>0</v>
      </c>
      <c r="R264" s="59" t="inlineStr">
        <is>
          <t>if you book the service your amount gets deducted from account but booking slot doesn’t reflect as reserved</t>
        </is>
      </c>
      <c r="S264" s="9" t="inlineStr">
        <is>
          <t>payment_refund</t>
        </is>
      </c>
      <c r="T264" s="9" t="inlineStr">
        <is>
          <t>payment_refund</t>
        </is>
      </c>
      <c r="U264" s="59" t="inlineStr"/>
    </row>
    <row r="265">
      <c r="A265" s="9" t="n">
        <v>264</v>
      </c>
      <c r="B265" s="58" t="n">
        <v>46257</v>
      </c>
      <c r="C265" s="9" t="str">
        <f>TEXT(B265,"yyyy-mm")</f>
        <v>2026-08</v>
      </c>
      <c r="D265" s="9" t="n">
        <v>1</v>
      </c>
      <c r="E265" s="9" t="inlineStr">
        <is>
          <t>18.6.0</t>
        </is>
      </c>
      <c r="F265" s="59" t="inlineStr">
        <is>
          <t>Poor quality service</t>
        </is>
      </c>
      <c r="G265" s="59" t="inlineStr">
        <is>
          <t>Professional was in too much hurry, and didn’t do the work properly. I got rashes and skin irritation. Don’t recommend this</t>
        </is>
      </c>
      <c r="H265" s="9" t="inlineStr">
        <is>
          <t>service_quality</t>
        </is>
      </c>
      <c r="I265" s="9" t="inlineStr">
        <is>
          <t>skin_injury_or_reaction</t>
        </is>
      </c>
      <c r="J265" s="9" t="inlineStr"/>
      <c r="K265" s="9" t="inlineStr">
        <is>
          <t>no</t>
        </is>
      </c>
      <c r="L265" s="9" t="inlineStr">
        <is>
          <t>no</t>
        </is>
      </c>
      <c r="M265" s="9" t="inlineStr">
        <is>
          <t>high</t>
        </is>
      </c>
      <c r="N265" s="9" t="inlineStr">
        <is>
          <t>no</t>
        </is>
      </c>
      <c r="O265" s="9" t="inlineStr">
        <is>
          <t>unknown</t>
        </is>
      </c>
      <c r="P265" s="9" t="inlineStr"/>
      <c r="Q265" s="9" t="n">
        <v>0</v>
      </c>
      <c r="R265" s="59" t="inlineStr">
        <is>
          <t>Professional was in too much hurry, and didn’t do the work properly. I got rashes and skin irritation.</t>
        </is>
      </c>
      <c r="S265" s="9" t="inlineStr">
        <is>
          <t>service_quality</t>
        </is>
      </c>
      <c r="T265" s="9" t="inlineStr">
        <is>
          <t>service_quality</t>
        </is>
      </c>
      <c r="U265" s="59" t="inlineStr"/>
    </row>
    <row r="266">
      <c r="A266" s="9" t="n">
        <v>265</v>
      </c>
      <c r="B266" s="58" t="n">
        <v>46257</v>
      </c>
      <c r="C266" s="9" t="str">
        <f>TEXT(B266,"yyyy-mm")</f>
        <v>2026-08</v>
      </c>
      <c r="D266" s="9" t="n">
        <v>5</v>
      </c>
      <c r="E266" s="9" t="inlineStr">
        <is>
          <t>18.6.0</t>
        </is>
      </c>
      <c r="F266" s="59" t="inlineStr">
        <is>
          <t>[name]</t>
        </is>
      </c>
      <c r="G266" s="59" t="inlineStr">
        <is>
          <t>She is very friendly and was very quick with the service😊</t>
        </is>
      </c>
      <c r="H266" s="9" t="inlineStr">
        <is>
          <t>praise</t>
        </is>
      </c>
      <c r="I266" s="9" t="inlineStr">
        <is>
          <t>praise_professional</t>
        </is>
      </c>
      <c r="J266" s="9" t="inlineStr"/>
      <c r="K266" s="9" t="inlineStr">
        <is>
          <t>no</t>
        </is>
      </c>
      <c r="L266" s="9" t="inlineStr">
        <is>
          <t>no</t>
        </is>
      </c>
      <c r="M266" s="9" t="inlineStr">
        <is>
          <t>none</t>
        </is>
      </c>
      <c r="N266" s="9" t="inlineStr">
        <is>
          <t>no</t>
        </is>
      </c>
      <c r="O266" s="9" t="inlineStr">
        <is>
          <t>unknown</t>
        </is>
      </c>
      <c r="P266" s="9" t="inlineStr"/>
      <c r="Q266" s="9" t="n">
        <v>0</v>
      </c>
      <c r="R266" s="59" t="inlineStr">
        <is>
          <t>She is very friendly and was very quick with the service</t>
        </is>
      </c>
      <c r="S266" s="9" t="inlineStr">
        <is>
          <t>praise</t>
        </is>
      </c>
      <c r="T266" s="9" t="inlineStr">
        <is>
          <t>praise</t>
        </is>
      </c>
      <c r="U266" s="59" t="inlineStr"/>
    </row>
    <row r="267">
      <c r="A267" s="9" t="n">
        <v>266</v>
      </c>
      <c r="B267" s="58" t="n">
        <v>46257</v>
      </c>
      <c r="C267" s="9" t="str">
        <f>TEXT(B267,"yyyy-mm")</f>
        <v>2026-08</v>
      </c>
      <c r="D267" s="9" t="n">
        <v>1</v>
      </c>
      <c r="E267" s="9" t="inlineStr">
        <is>
          <t>18.6.0</t>
        </is>
      </c>
      <c r="F267" s="59" t="inlineStr">
        <is>
          <t>Pay for - show off and advertisement of company not for service</t>
        </is>
      </c>
      <c r="G267" s="59" t="inlineStr">
        <is>
          <t>Totally show off…. The person you book is always in hurry to finish the things and sometimes they skip a particular step and when you ask question they say that im going by the way it is mentioned in the kit… These people are charging extra and all the money is only utilised for fancy show off materials in the name of hygine or for their own advertisement rathar than a good service…. 
Forget about service once you book you will feel it as a task to be completed on time by the person who delivers you the service, they are not even bothered whether it gives result or not , they are just at your door to complete a task in their assigned time and even if they waste time in adjustment or any other thing they will make you compensate for the same. Waste of money. Think 100 times before you book.</t>
        </is>
      </c>
      <c r="H267" s="9" t="inlineStr">
        <is>
          <t>service_quality</t>
        </is>
      </c>
      <c r="I267" s="9" t="inlineStr">
        <is>
          <t>rushed_or_incomplete</t>
        </is>
      </c>
      <c r="J267" s="9" t="inlineStr">
        <is>
          <t>price_clarity</t>
        </is>
      </c>
      <c r="K267" s="9" t="inlineStr">
        <is>
          <t>no</t>
        </is>
      </c>
      <c r="L267" s="9" t="inlineStr">
        <is>
          <t>no</t>
        </is>
      </c>
      <c r="M267" s="9" t="inlineStr">
        <is>
          <t>medium</t>
        </is>
      </c>
      <c r="N267" s="9" t="inlineStr">
        <is>
          <t>no</t>
        </is>
      </c>
      <c r="O267" s="9" t="inlineStr">
        <is>
          <t>unknown</t>
        </is>
      </c>
      <c r="P267" s="9" t="inlineStr"/>
      <c r="Q267" s="9" t="n">
        <v>0</v>
      </c>
      <c r="R267" s="59" t="inlineStr">
        <is>
          <t>The person you book is always in hurry to finish the things and sometimes they skip a particular step</t>
        </is>
      </c>
      <c r="S267" s="9" t="inlineStr">
        <is>
          <t>service_quality</t>
        </is>
      </c>
      <c r="T267" s="9" t="inlineStr">
        <is>
          <t>service_quality</t>
        </is>
      </c>
      <c r="U267" s="59" t="inlineStr"/>
    </row>
    <row r="268">
      <c r="A268" s="9" t="n">
        <v>267</v>
      </c>
      <c r="B268" s="58" t="n">
        <v>46256</v>
      </c>
      <c r="C268" s="9" t="str">
        <f>TEXT(B268,"yyyy-mm")</f>
        <v>2026-08</v>
      </c>
      <c r="D268" s="9" t="n">
        <v>5</v>
      </c>
      <c r="E268" s="9" t="inlineStr">
        <is>
          <t>18.6.0</t>
        </is>
      </c>
      <c r="F268" s="59" t="inlineStr">
        <is>
          <t>Service review</t>
        </is>
      </c>
      <c r="G268" s="59" t="inlineStr">
        <is>
          <t>[name] provided an excellent service through YesMadam. She was professional, polite, punctual, and did the service very carefully. I’m really happy with the overall experience and the quality of her work. Would definitely recommend [name] and YesMadam for a convenient and professional at-home salon experience.</t>
        </is>
      </c>
      <c r="H268" s="9" t="inlineStr">
        <is>
          <t>praise</t>
        </is>
      </c>
      <c r="I268" s="9" t="inlineStr">
        <is>
          <t>praise_professional</t>
        </is>
      </c>
      <c r="J268" s="9" t="inlineStr"/>
      <c r="K268" s="9" t="inlineStr">
        <is>
          <t>no</t>
        </is>
      </c>
      <c r="L268" s="9" t="inlineStr">
        <is>
          <t>no</t>
        </is>
      </c>
      <c r="M268" s="9" t="inlineStr">
        <is>
          <t>none</t>
        </is>
      </c>
      <c r="N268" s="9" t="inlineStr">
        <is>
          <t>no</t>
        </is>
      </c>
      <c r="O268" s="9" t="inlineStr">
        <is>
          <t>unknown</t>
        </is>
      </c>
      <c r="P268" s="9" t="inlineStr"/>
      <c r="Q268" s="9" t="n">
        <v>0</v>
      </c>
      <c r="R268" s="59" t="inlineStr">
        <is>
          <t>[name] provided an excellent service through YesMadam. She was professional, polite, punctual, and did the service very carefully.</t>
        </is>
      </c>
      <c r="S268" s="9" t="inlineStr">
        <is>
          <t>praise</t>
        </is>
      </c>
      <c r="T268" s="9" t="inlineStr">
        <is>
          <t>praise</t>
        </is>
      </c>
      <c r="U268" s="59" t="inlineStr"/>
    </row>
    <row r="269">
      <c r="A269" s="9" t="n">
        <v>268</v>
      </c>
      <c r="B269" s="58" t="n">
        <v>46256</v>
      </c>
      <c r="C269" s="9" t="str">
        <f>TEXT(B269,"yyyy-mm")</f>
        <v>2026-08</v>
      </c>
      <c r="D269" s="9" t="n">
        <v>1</v>
      </c>
      <c r="E269" s="9" t="inlineStr">
        <is>
          <t>18.6.0</t>
        </is>
      </c>
      <c r="F269" s="59" t="inlineStr">
        <is>
          <t>UNPROFESSIONAL</t>
        </is>
      </c>
      <c r="G269" s="59" t="inlineStr">
        <is>
          <t>The professional arrived 45 mins late. By then, I had cancelled and she still arrived anyway. The customer support is very unorganised. The low cost they provide is MOST definitely not worth the hassle.</t>
        </is>
      </c>
      <c r="H269" s="9" t="inlineStr">
        <is>
          <t>delay</t>
        </is>
      </c>
      <c r="I269" s="9" t="inlineStr">
        <is>
          <t>late_arrival</t>
        </is>
      </c>
      <c r="J269" s="9" t="inlineStr">
        <is>
          <t>support</t>
        </is>
      </c>
      <c r="K269" s="9" t="inlineStr">
        <is>
          <t>yes</t>
        </is>
      </c>
      <c r="L269" s="9" t="inlineStr">
        <is>
          <t>yes</t>
        </is>
      </c>
      <c r="M269" s="9" t="inlineStr">
        <is>
          <t>medium</t>
        </is>
      </c>
      <c r="N269" s="9" t="inlineStr">
        <is>
          <t>no</t>
        </is>
      </c>
      <c r="O269" s="9" t="inlineStr">
        <is>
          <t>unknown</t>
        </is>
      </c>
      <c r="P269" s="9" t="inlineStr"/>
      <c r="Q269" s="9" t="n">
        <v>0</v>
      </c>
      <c r="R269" s="59" t="inlineStr">
        <is>
          <t>The professional arrived 45 mins late. By then, I had cancelled and she still arrived anyway.</t>
        </is>
      </c>
      <c r="S269" s="9" t="inlineStr">
        <is>
          <t>delay</t>
        </is>
      </c>
      <c r="T269" s="9" t="inlineStr">
        <is>
          <t>delay</t>
        </is>
      </c>
      <c r="U269" s="59" t="inlineStr"/>
    </row>
    <row r="270">
      <c r="A270" s="9" t="n">
        <v>269</v>
      </c>
      <c r="B270" s="58" t="n">
        <v>46256</v>
      </c>
      <c r="C270" s="9" t="str">
        <f>TEXT(B270,"yyyy-mm")</f>
        <v>2026-08</v>
      </c>
      <c r="D270" s="9" t="n">
        <v>2</v>
      </c>
      <c r="E270" s="9" t="inlineStr">
        <is>
          <t>18.6.0</t>
        </is>
      </c>
      <c r="F270" s="59" t="inlineStr">
        <is>
          <t>Just another marketing gimmick!!</t>
        </is>
      </c>
      <c r="G270" s="59" t="inlineStr">
        <is>
          <t>All the korean services they sell is really not anything like the actual korean services so please don’t get tricked by the name. They don’t even provide beds to the professionals for body massages - only the Gold category professionals bring the bed along. It’s ridiculous!! The prices they have for massages are equal or even more with the extra charges comparing to Urban Company and yet the products used for massages is average. 
The cashback system is the worst ever!! It’s unbelievable how they have criteria on using the amount of cashback based on the total amount of the service. Never using Yesmadam again!!</t>
        </is>
      </c>
      <c r="H270" s="9" t="inlineStr">
        <is>
          <t>price_clarity</t>
        </is>
      </c>
      <c r="I270" s="9" t="inlineStr">
        <is>
          <t>offer_not_honoured</t>
        </is>
      </c>
      <c r="J270" s="9" t="inlineStr">
        <is>
          <t>service_quality, product_fit</t>
        </is>
      </c>
      <c r="K270" s="9" t="inlineStr">
        <is>
          <t>no</t>
        </is>
      </c>
      <c r="L270" s="9" t="inlineStr">
        <is>
          <t>no</t>
        </is>
      </c>
      <c r="M270" s="9" t="inlineStr">
        <is>
          <t>medium</t>
        </is>
      </c>
      <c r="N270" s="9" t="inlineStr">
        <is>
          <t>yes</t>
        </is>
      </c>
      <c r="O270" s="9" t="inlineStr">
        <is>
          <t>massage_spa</t>
        </is>
      </c>
      <c r="P270" s="9" t="inlineStr"/>
      <c r="Q270" s="9" t="n">
        <v>0</v>
      </c>
      <c r="R270" s="59" t="inlineStr">
        <is>
          <t>It’s unbelievable how they have criteria on using the amount of cashback based on the total amount of the service.</t>
        </is>
      </c>
      <c r="S270" s="9" t="inlineStr">
        <is>
          <t>price_clarity</t>
        </is>
      </c>
      <c r="T270" s="9" t="inlineStr">
        <is>
          <t>price_clarity</t>
        </is>
      </c>
      <c r="U270" s="59" t="inlineStr"/>
    </row>
    <row r="271">
      <c r="A271" s="9" t="n">
        <v>270</v>
      </c>
      <c r="B271" s="58" t="n">
        <v>46256</v>
      </c>
      <c r="C271" s="9" t="str">
        <f>TEXT(B271,"yyyy-mm")</f>
        <v>2026-08</v>
      </c>
      <c r="D271" s="9" t="n">
        <v>1</v>
      </c>
      <c r="E271" s="9" t="inlineStr">
        <is>
          <t>18.6.0</t>
        </is>
      </c>
      <c r="F271" s="59" t="inlineStr">
        <is>
          <t>Poor services</t>
        </is>
      </c>
      <c r="G271" s="59" t="inlineStr">
        <is>
          <t>Very poor Yes Madam services in Ludhiana. Honestly, Urban Company is far better than Yes Madam.
Yes Madam really needs to work on their services and train their professionals properly—they are not trained at all. On top of that, slots are mostly unavailable. If you somehow manage to find an open slot and make a booking, they end up canceling it from their side anyway!
Even when they give you compensation coupon points, you can't use them because slots never open up, and customer support is completely useless in helping. Extremely disappointing experience.</t>
        </is>
      </c>
      <c r="H271" s="9" t="inlineStr">
        <is>
          <t>partner_cancellation</t>
        </is>
      </c>
      <c r="I271" s="9" t="inlineStr">
        <is>
          <t>no_partner_available</t>
        </is>
      </c>
      <c r="J271" s="9" t="inlineStr">
        <is>
          <t>service_quality, app, price_clarity, support</t>
        </is>
      </c>
      <c r="K271" s="9" t="inlineStr">
        <is>
          <t>yes</t>
        </is>
      </c>
      <c r="L271" s="9" t="inlineStr">
        <is>
          <t>yes</t>
        </is>
      </c>
      <c r="M271" s="9" t="inlineStr">
        <is>
          <t>medium</t>
        </is>
      </c>
      <c r="N271" s="9" t="inlineStr">
        <is>
          <t>no</t>
        </is>
      </c>
      <c r="O271" s="9" t="inlineStr">
        <is>
          <t>unknown</t>
        </is>
      </c>
      <c r="P271" s="9" t="inlineStr">
        <is>
          <t>Ludhiana</t>
        </is>
      </c>
      <c r="Q271" s="9" t="n">
        <v>0</v>
      </c>
      <c r="R271" s="59" t="inlineStr">
        <is>
          <t>If you somehow manage to find an open slot and make a booking, they end up canceling it from their side anyway!</t>
        </is>
      </c>
      <c r="S271" s="9" t="inlineStr">
        <is>
          <t>partner_cancellation</t>
        </is>
      </c>
      <c r="T271" s="9" t="inlineStr">
        <is>
          <t>service_quality</t>
        </is>
      </c>
      <c r="U271" s="59" t="inlineStr">
        <is>
          <t>Concrete grievance: bookings cancelled by the company amid no slots, and compensation coupons unusable; support was useless on this; untrained professionals is a general secondary point.</t>
        </is>
      </c>
    </row>
    <row r="272">
      <c r="A272" s="9" t="n">
        <v>271</v>
      </c>
      <c r="B272" s="58" t="n">
        <v>46256</v>
      </c>
      <c r="C272" s="9" t="str">
        <f>TEXT(B272,"yyyy-mm")</f>
        <v>2026-08</v>
      </c>
      <c r="D272" s="9" t="n">
        <v>5</v>
      </c>
      <c r="E272" s="9" t="inlineStr">
        <is>
          <t>18.6.0</t>
        </is>
      </c>
      <c r="F272" s="59" t="inlineStr">
        <is>
          <t>Superb</t>
        </is>
      </c>
      <c r="G272" s="59" t="inlineStr">
        <is>
          <t>Great service by Yes Madam! The experience was smooth, professional, and very satisfying.</t>
        </is>
      </c>
      <c r="H272" s="9" t="inlineStr">
        <is>
          <t>praise</t>
        </is>
      </c>
      <c r="I272" s="9" t="inlineStr">
        <is>
          <t>praise_service</t>
        </is>
      </c>
      <c r="J272" s="9" t="inlineStr"/>
      <c r="K272" s="9" t="inlineStr">
        <is>
          <t>no</t>
        </is>
      </c>
      <c r="L272" s="9" t="inlineStr">
        <is>
          <t>no</t>
        </is>
      </c>
      <c r="M272" s="9" t="inlineStr">
        <is>
          <t>none</t>
        </is>
      </c>
      <c r="N272" s="9" t="inlineStr">
        <is>
          <t>no</t>
        </is>
      </c>
      <c r="O272" s="9" t="inlineStr">
        <is>
          <t>unknown</t>
        </is>
      </c>
      <c r="P272" s="9" t="inlineStr"/>
      <c r="Q272" s="9" t="n">
        <v>0</v>
      </c>
      <c r="R272" s="59" t="inlineStr">
        <is>
          <t>Great service by Yes Madam! The experience was smooth, professional, and very satisfying.</t>
        </is>
      </c>
      <c r="S272" s="9" t="inlineStr">
        <is>
          <t>praise</t>
        </is>
      </c>
      <c r="T272" s="9" t="inlineStr">
        <is>
          <t>praise</t>
        </is>
      </c>
      <c r="U272" s="59" t="inlineStr"/>
    </row>
    <row r="273">
      <c r="A273" s="9" t="n">
        <v>272</v>
      </c>
      <c r="B273" s="58" t="n">
        <v>46256</v>
      </c>
      <c r="C273" s="9" t="str">
        <f>TEXT(B273,"yyyy-mm")</f>
        <v>2026-08</v>
      </c>
      <c r="D273" s="9" t="n">
        <v>1</v>
      </c>
      <c r="E273" s="9" t="inlineStr">
        <is>
          <t>18.6.0</t>
        </is>
      </c>
      <c r="F273" s="59" t="inlineStr">
        <is>
          <t>Booking done. NO AGENT TURNED UP</t>
        </is>
      </c>
      <c r="G273" s="59" t="inlineStr">
        <is>
          <t>For a first time , pretty bad experience</t>
        </is>
      </c>
      <c r="H273" s="9" t="inlineStr">
        <is>
          <t>partner_cancellation</t>
        </is>
      </c>
      <c r="I273" s="9" t="inlineStr">
        <is>
          <t>no_show</t>
        </is>
      </c>
      <c r="J273" s="9" t="inlineStr"/>
      <c r="K273" s="9" t="inlineStr">
        <is>
          <t>no</t>
        </is>
      </c>
      <c r="L273" s="9" t="inlineStr">
        <is>
          <t>no</t>
        </is>
      </c>
      <c r="M273" s="9" t="inlineStr">
        <is>
          <t>medium</t>
        </is>
      </c>
      <c r="N273" s="9" t="inlineStr">
        <is>
          <t>no</t>
        </is>
      </c>
      <c r="O273" s="9" t="inlineStr">
        <is>
          <t>unknown</t>
        </is>
      </c>
      <c r="P273" s="9" t="inlineStr"/>
      <c r="Q273" s="9" t="n">
        <v>0</v>
      </c>
      <c r="R273" s="59" t="inlineStr">
        <is>
          <t>Booking done. NO AGENT TURNED UP For a first time , pretty bad experience</t>
        </is>
      </c>
      <c r="S273" s="9" t="inlineStr">
        <is>
          <t>partner_cancellation</t>
        </is>
      </c>
      <c r="T273" s="9" t="inlineStr">
        <is>
          <t>partner_cancellation</t>
        </is>
      </c>
      <c r="U273" s="59" t="inlineStr"/>
    </row>
    <row r="274">
      <c r="A274" s="9" t="n">
        <v>273</v>
      </c>
      <c r="B274" s="58" t="n">
        <v>46256</v>
      </c>
      <c r="C274" s="9" t="str">
        <f>TEXT(B274,"yyyy-mm")</f>
        <v>2026-08</v>
      </c>
      <c r="D274" s="9" t="n">
        <v>1</v>
      </c>
      <c r="E274" s="9" t="inlineStr">
        <is>
          <t>18.6.0</t>
        </is>
      </c>
      <c r="F274" s="59" t="inlineStr">
        <is>
          <t>DO NOT TAKE SERVICES</t>
        </is>
      </c>
      <c r="G274" s="59" t="inlineStr">
        <is>
          <t>DISGUSTING APP IF THEY DONT HAVE A PROFESSIONAL THEY MAKE ANY RANDOM REASON TO CANCEL THE BOOKING AND LIE BLATANTLY</t>
        </is>
      </c>
      <c r="H274" s="9" t="inlineStr">
        <is>
          <t>partner_cancellation</t>
        </is>
      </c>
      <c r="I274" s="9" t="inlineStr">
        <is>
          <t>no_partner_available</t>
        </is>
      </c>
      <c r="J274" s="9" t="inlineStr"/>
      <c r="K274" s="9" t="inlineStr">
        <is>
          <t>no</t>
        </is>
      </c>
      <c r="L274" s="9" t="inlineStr">
        <is>
          <t>no</t>
        </is>
      </c>
      <c r="M274" s="9" t="inlineStr">
        <is>
          <t>medium</t>
        </is>
      </c>
      <c r="N274" s="9" t="inlineStr">
        <is>
          <t>no</t>
        </is>
      </c>
      <c r="O274" s="9" t="inlineStr">
        <is>
          <t>unknown</t>
        </is>
      </c>
      <c r="P274" s="9" t="inlineStr"/>
      <c r="Q274" s="9" t="n">
        <v>0</v>
      </c>
      <c r="R274" s="59" t="inlineStr">
        <is>
          <t>IF THEY DONT HAVE A PROFESSIONAL THEY MAKE ANY RANDOM REASON TO CANCEL THE BOOKING AND LIE BLATANTLY</t>
        </is>
      </c>
      <c r="S274" s="9" t="inlineStr">
        <is>
          <t>partner_cancellation</t>
        </is>
      </c>
      <c r="T274" s="9" t="inlineStr">
        <is>
          <t>partner_cancellation</t>
        </is>
      </c>
      <c r="U274" s="59" t="inlineStr"/>
    </row>
    <row r="275">
      <c r="A275" s="9" t="n">
        <v>274</v>
      </c>
      <c r="B275" s="58" t="n">
        <v>46254</v>
      </c>
      <c r="C275" s="9" t="str">
        <f>TEXT(B275,"yyyy-mm")</f>
        <v>2026-08</v>
      </c>
      <c r="D275" s="9" t="n">
        <v>1</v>
      </c>
      <c r="E275" s="9" t="inlineStr">
        <is>
          <t>18.6.0</t>
        </is>
      </c>
      <c r="F275" s="59" t="inlineStr">
        <is>
          <t>Fraud</t>
        </is>
      </c>
      <c r="G275" s="59" t="inlineStr">
        <is>
          <t>Extremely disappointed. First of all they themselves don’t know what procedure they have put on the service and ask screenshot of it while complaining. Second the misleading description of service. And now taking too long to solve a simple problem. Waste of money &amp; time.</t>
        </is>
      </c>
      <c r="H275" s="9" t="inlineStr">
        <is>
          <t>price_clarity</t>
        </is>
      </c>
      <c r="I275" s="9" t="inlineStr">
        <is>
          <t>membership_or_package_confusion</t>
        </is>
      </c>
      <c r="J275" s="9" t="inlineStr">
        <is>
          <t>support</t>
        </is>
      </c>
      <c r="K275" s="9" t="inlineStr">
        <is>
          <t>yes</t>
        </is>
      </c>
      <c r="L275" s="9" t="inlineStr">
        <is>
          <t>yes</t>
        </is>
      </c>
      <c r="M275" s="9" t="inlineStr">
        <is>
          <t>medium</t>
        </is>
      </c>
      <c r="N275" s="9" t="inlineStr">
        <is>
          <t>no</t>
        </is>
      </c>
      <c r="O275" s="9" t="inlineStr">
        <is>
          <t>unknown</t>
        </is>
      </c>
      <c r="P275" s="9" t="inlineStr"/>
      <c r="Q275" s="9" t="n">
        <v>0</v>
      </c>
      <c r="R275" s="59" t="inlineStr">
        <is>
          <t>they themselves don’t know what procedure they have put on the service and ask screenshot of it while complaining</t>
        </is>
      </c>
      <c r="S275" s="9" t="inlineStr">
        <is>
          <t>price_clarity</t>
        </is>
      </c>
      <c r="T275" s="9" t="inlineStr">
        <is>
          <t>price_clarity</t>
        </is>
      </c>
      <c r="U275" s="59" t="inlineStr"/>
    </row>
    <row r="276">
      <c r="A276" s="9" t="n">
        <v>275</v>
      </c>
      <c r="B276" s="58" t="n">
        <v>46254</v>
      </c>
      <c r="C276" s="9" t="str">
        <f>TEXT(B276,"yyyy-mm")</f>
        <v>2026-08</v>
      </c>
      <c r="D276" s="9" t="n">
        <v>5</v>
      </c>
      <c r="E276" s="9" t="inlineStr">
        <is>
          <t>18.5.0</t>
        </is>
      </c>
      <c r="F276" s="59" t="inlineStr">
        <is>
          <t>Body massage</t>
        </is>
      </c>
      <c r="G276" s="59" t="inlineStr">
        <is>
          <t>It was a good choice to book an appointment from yesterday madam massage which i had was very effective will again book when ill need</t>
        </is>
      </c>
      <c r="H276" s="9" t="inlineStr">
        <is>
          <t>praise</t>
        </is>
      </c>
      <c r="I276" s="9" t="inlineStr">
        <is>
          <t>praise_service</t>
        </is>
      </c>
      <c r="J276" s="9" t="inlineStr"/>
      <c r="K276" s="9" t="inlineStr">
        <is>
          <t>no</t>
        </is>
      </c>
      <c r="L276" s="9" t="inlineStr">
        <is>
          <t>no</t>
        </is>
      </c>
      <c r="M276" s="9" t="inlineStr">
        <is>
          <t>none</t>
        </is>
      </c>
      <c r="N276" s="9" t="inlineStr">
        <is>
          <t>no</t>
        </is>
      </c>
      <c r="O276" s="9" t="inlineStr">
        <is>
          <t>massage_spa</t>
        </is>
      </c>
      <c r="P276" s="9" t="inlineStr"/>
      <c r="Q276" s="9" t="n">
        <v>0</v>
      </c>
      <c r="R276" s="59" t="inlineStr">
        <is>
          <t>massage which i had was very effective will again book when ill need</t>
        </is>
      </c>
      <c r="S276" s="9" t="inlineStr">
        <is>
          <t>praise</t>
        </is>
      </c>
      <c r="T276" s="9" t="inlineStr">
        <is>
          <t>praise</t>
        </is>
      </c>
      <c r="U276" s="59" t="inlineStr"/>
    </row>
    <row r="277">
      <c r="A277" s="9" t="n">
        <v>276</v>
      </c>
      <c r="B277" s="58" t="n">
        <v>46254</v>
      </c>
      <c r="C277" s="9" t="str">
        <f>TEXT(B277,"yyyy-mm")</f>
        <v>2026-08</v>
      </c>
      <c r="D277" s="9" t="n">
        <v>1</v>
      </c>
      <c r="E277" s="9" t="inlineStr">
        <is>
          <t>18.5.0</t>
        </is>
      </c>
      <c r="F277" s="59" t="inlineStr">
        <is>
          <t>Fraudster</t>
        </is>
      </c>
      <c r="G277" s="59" t="inlineStr">
        <is>
          <t>Fraud scheme..time waste</t>
        </is>
      </c>
      <c r="H277" s="9" t="inlineStr">
        <is>
          <t>other</t>
        </is>
      </c>
      <c r="I277" s="9" t="inlineStr">
        <is>
          <t>unclear</t>
        </is>
      </c>
      <c r="J277" s="9" t="inlineStr"/>
      <c r="K277" s="9" t="inlineStr">
        <is>
          <t>no</t>
        </is>
      </c>
      <c r="L277" s="9" t="inlineStr">
        <is>
          <t>no</t>
        </is>
      </c>
      <c r="M277" s="9" t="inlineStr">
        <is>
          <t>low</t>
        </is>
      </c>
      <c r="N277" s="9" t="inlineStr">
        <is>
          <t>no</t>
        </is>
      </c>
      <c r="O277" s="9" t="inlineStr">
        <is>
          <t>unknown</t>
        </is>
      </c>
      <c r="P277" s="9" t="inlineStr"/>
      <c r="Q277" s="9" t="n">
        <v>0</v>
      </c>
      <c r="R277" s="59" t="inlineStr">
        <is>
          <t>Fraudster Fraud scheme..time waste</t>
        </is>
      </c>
      <c r="S277" s="9" t="inlineStr">
        <is>
          <t>other</t>
        </is>
      </c>
      <c r="T277" s="9" t="inlineStr">
        <is>
          <t>other</t>
        </is>
      </c>
      <c r="U277" s="59" t="inlineStr"/>
    </row>
    <row r="278">
      <c r="A278" s="9" t="n">
        <v>277</v>
      </c>
      <c r="B278" s="58" t="n">
        <v>46253</v>
      </c>
      <c r="C278" s="9" t="str">
        <f>TEXT(B278,"yyyy-mm")</f>
        <v>2026-08</v>
      </c>
      <c r="D278" s="9" t="n">
        <v>5</v>
      </c>
      <c r="E278" s="9" t="inlineStr">
        <is>
          <t>18.5.0</t>
        </is>
      </c>
      <c r="F278" s="59" t="inlineStr">
        <is>
          <t>Mrs. [name]</t>
        </is>
      </c>
      <c r="G278" s="59" t="inlineStr">
        <is>
          <t>Yes madam is an excellent platform to get salon services at ease at your own home environment. I took the service first time but really satisfied with the support as everything is online. I got last minute guest and I was easily able to reschedule my book for next day within a second by myself in their app.</t>
        </is>
      </c>
      <c r="H278" s="9" t="inlineStr">
        <is>
          <t>praise</t>
        </is>
      </c>
      <c r="I278" s="9" t="inlineStr">
        <is>
          <t>praise_service</t>
        </is>
      </c>
      <c r="J278" s="9" t="inlineStr"/>
      <c r="K278" s="9" t="inlineStr">
        <is>
          <t>no</t>
        </is>
      </c>
      <c r="L278" s="9" t="inlineStr">
        <is>
          <t>no</t>
        </is>
      </c>
      <c r="M278" s="9" t="inlineStr">
        <is>
          <t>none</t>
        </is>
      </c>
      <c r="N278" s="9" t="inlineStr">
        <is>
          <t>no</t>
        </is>
      </c>
      <c r="O278" s="9" t="inlineStr">
        <is>
          <t>unknown</t>
        </is>
      </c>
      <c r="P278" s="9" t="inlineStr"/>
      <c r="Q278" s="9" t="n">
        <v>0</v>
      </c>
      <c r="R278" s="59" t="inlineStr">
        <is>
          <t>I got last minute guest and I was easily able to reschedule my book for next day within a second by myself in their app.</t>
        </is>
      </c>
      <c r="S278" s="9" t="inlineStr">
        <is>
          <t>praise</t>
        </is>
      </c>
      <c r="T278" s="9" t="inlineStr">
        <is>
          <t>praise</t>
        </is>
      </c>
      <c r="U278" s="59" t="inlineStr"/>
    </row>
    <row r="279">
      <c r="A279" s="9" t="n">
        <v>278</v>
      </c>
      <c r="B279" s="58" t="n">
        <v>46253</v>
      </c>
      <c r="C279" s="9" t="str">
        <f>TEXT(B279,"yyyy-mm")</f>
        <v>2026-08</v>
      </c>
      <c r="D279" s="9" t="n">
        <v>1</v>
      </c>
      <c r="E279" s="9" t="inlineStr">
        <is>
          <t>18.5.0</t>
        </is>
      </c>
      <c r="F279" s="59" t="inlineStr">
        <is>
          <t>Waxing</t>
        </is>
      </c>
      <c r="G279" s="59" t="inlineStr">
        <is>
          <t>Not good service, I did waxing but the hair was not removed properly.</t>
        </is>
      </c>
      <c r="H279" s="9" t="inlineStr">
        <is>
          <t>service_quality</t>
        </is>
      </c>
      <c r="I279" s="9" t="inlineStr">
        <is>
          <t>poor_skill</t>
        </is>
      </c>
      <c r="J279" s="9" t="inlineStr"/>
      <c r="K279" s="9" t="inlineStr">
        <is>
          <t>no</t>
        </is>
      </c>
      <c r="L279" s="9" t="inlineStr">
        <is>
          <t>no</t>
        </is>
      </c>
      <c r="M279" s="9" t="inlineStr">
        <is>
          <t>medium</t>
        </is>
      </c>
      <c r="N279" s="9" t="inlineStr">
        <is>
          <t>no</t>
        </is>
      </c>
      <c r="O279" s="9" t="inlineStr">
        <is>
          <t>waxing</t>
        </is>
      </c>
      <c r="P279" s="9" t="inlineStr"/>
      <c r="Q279" s="9" t="n">
        <v>0</v>
      </c>
      <c r="R279" s="59" t="inlineStr">
        <is>
          <t>Not good service, I did waxing but the hair was not removed properly.</t>
        </is>
      </c>
      <c r="S279" s="9" t="inlineStr">
        <is>
          <t>service_quality</t>
        </is>
      </c>
      <c r="T279" s="9" t="inlineStr">
        <is>
          <t>service_quality</t>
        </is>
      </c>
      <c r="U279" s="59" t="inlineStr"/>
    </row>
    <row r="280">
      <c r="A280" s="9" t="n">
        <v>279</v>
      </c>
      <c r="B280" s="58" t="n">
        <v>46253</v>
      </c>
      <c r="C280" s="9" t="str">
        <f>TEXT(B280,"yyyy-mm")</f>
        <v>2026-08</v>
      </c>
      <c r="D280" s="9" t="n">
        <v>5</v>
      </c>
      <c r="E280" s="9" t="inlineStr">
        <is>
          <t>18.5.0</t>
        </is>
      </c>
      <c r="F280" s="59" t="inlineStr">
        <is>
          <t>Very bad</t>
        </is>
      </c>
      <c r="G280" s="59" t="inlineStr">
        <is>
          <t>In terms of customer care support they do not have representative to talk to . Many times the app is not serviceable in already booked locations . Very bad management</t>
        </is>
      </c>
      <c r="H280" s="9" t="inlineStr">
        <is>
          <t>app</t>
        </is>
      </c>
      <c r="I280" s="9" t="inlineStr">
        <is>
          <t>other_app</t>
        </is>
      </c>
      <c r="J280" s="9" t="inlineStr">
        <is>
          <t>support</t>
        </is>
      </c>
      <c r="K280" s="9" t="inlineStr">
        <is>
          <t>yes</t>
        </is>
      </c>
      <c r="L280" s="9" t="inlineStr">
        <is>
          <t>yes</t>
        </is>
      </c>
      <c r="M280" s="9" t="inlineStr">
        <is>
          <t>low</t>
        </is>
      </c>
      <c r="N280" s="9" t="inlineStr">
        <is>
          <t>no</t>
        </is>
      </c>
      <c r="O280" s="9" t="inlineStr">
        <is>
          <t>unknown</t>
        </is>
      </c>
      <c r="P280" s="9" t="inlineStr"/>
      <c r="Q280" s="9" t="n">
        <v>0</v>
      </c>
      <c r="R280" s="59" t="inlineStr">
        <is>
          <t>Many times the app is not serviceable in already booked locations . Very bad management</t>
        </is>
      </c>
      <c r="S280" s="9" t="inlineStr">
        <is>
          <t>app</t>
        </is>
      </c>
      <c r="T280" s="9" t="inlineStr">
        <is>
          <t>app</t>
        </is>
      </c>
      <c r="U280" s="59" t="inlineStr"/>
    </row>
    <row r="281">
      <c r="A281" s="9" t="n">
        <v>280</v>
      </c>
      <c r="B281" s="58" t="n">
        <v>46253</v>
      </c>
      <c r="C281" s="9" t="str">
        <f>TEXT(B281,"yyyy-mm")</f>
        <v>2026-08</v>
      </c>
      <c r="D281" s="9" t="n">
        <v>1</v>
      </c>
      <c r="E281" s="9" t="inlineStr">
        <is>
          <t>18.5.0</t>
        </is>
      </c>
      <c r="F281" s="59" t="inlineStr">
        <is>
          <t>Horrible</t>
        </is>
      </c>
      <c r="G281" s="59" t="inlineStr">
        <is>
          <t>Never ever ever book from this app. Will just waste your time and energy. They have no
Professionals, will accept booking and then at the very last moment, they will cancel the booking. Happened with me 5 times back to back. Pathetic experience, does not take customer feedback seriously. There are much better apps to consider but will never recommend yes madam.</t>
        </is>
      </c>
      <c r="H281" s="9" t="inlineStr">
        <is>
          <t>partner_cancellation</t>
        </is>
      </c>
      <c r="I281" s="9" t="inlineStr">
        <is>
          <t>last_minute_cancel</t>
        </is>
      </c>
      <c r="J281" s="9" t="inlineStr"/>
      <c r="K281" s="9" t="inlineStr">
        <is>
          <t>no</t>
        </is>
      </c>
      <c r="L281" s="9" t="inlineStr">
        <is>
          <t>no</t>
        </is>
      </c>
      <c r="M281" s="9" t="inlineStr">
        <is>
          <t>medium</t>
        </is>
      </c>
      <c r="N281" s="9" t="inlineStr">
        <is>
          <t>no</t>
        </is>
      </c>
      <c r="O281" s="9" t="inlineStr">
        <is>
          <t>unknown</t>
        </is>
      </c>
      <c r="P281" s="9" t="inlineStr"/>
      <c r="Q281" s="9" t="n">
        <v>0</v>
      </c>
      <c r="R281" s="59" t="inlineStr">
        <is>
          <t>will accept booking and then at the very last moment, they will cancel the booking. Happened with me 5 times back to back.</t>
        </is>
      </c>
      <c r="S281" s="9" t="inlineStr">
        <is>
          <t>partner_cancellation</t>
        </is>
      </c>
      <c r="T281" s="9" t="inlineStr">
        <is>
          <t>partner_cancellation</t>
        </is>
      </c>
      <c r="U281" s="59" t="inlineStr"/>
    </row>
    <row r="282">
      <c r="A282" s="9" t="n">
        <v>281</v>
      </c>
      <c r="B282" s="58" t="n">
        <v>46251</v>
      </c>
      <c r="C282" s="9" t="str">
        <f>TEXT(B282,"yyyy-mm")</f>
        <v>2026-08</v>
      </c>
      <c r="D282" s="9" t="n">
        <v>5</v>
      </c>
      <c r="E282" s="9" t="inlineStr">
        <is>
          <t>18.5.0</t>
        </is>
      </c>
      <c r="F282" s="59" t="inlineStr">
        <is>
          <t>Big Yes</t>
        </is>
      </c>
      <c r="G282" s="59" t="inlineStr">
        <is>
          <t>I had an absolutely wonderful experience with Yes Madam! 💕✨ What impressed me the most is their thoughtful approach towards hygiene and customer safety. Providing a fresh, disposable personal kit for every customer is such a responsible and innovative idea. It really shows that Yes Madam doesn’t just focus on beauty services but also genuinely cares about the well-being and comfort of its customers. Their official website confirms that they use fresh mono-use kits for services, which is a fantastic initiative.
A special appreciation to [name], Co-founder &amp; CEO ,[name],Co-Founder &amp; COO,[name],Co-Founder &amp; CMO ,for having such a wonderful vision and for turning an important thought about hygiene, transparency and customer trust into an actual practice. 👏 The idea of giving every customer a fresh, disposable kit is something that deserves to be appreciated and followed across the beauty industry.
Yes Madam, keep up the great work! 🌸 Your attention to hygiene, customer comfort and service quality truly makes a difference. Highly recommended! ⭐⭐⭐⭐⭐</t>
        </is>
      </c>
      <c r="H282" s="9" t="inlineStr">
        <is>
          <t>praise</t>
        </is>
      </c>
      <c r="I282" s="9" t="inlineStr">
        <is>
          <t>praise_service</t>
        </is>
      </c>
      <c r="J282" s="9" t="inlineStr"/>
      <c r="K282" s="9" t="inlineStr">
        <is>
          <t>no</t>
        </is>
      </c>
      <c r="L282" s="9" t="inlineStr">
        <is>
          <t>no</t>
        </is>
      </c>
      <c r="M282" s="9" t="inlineStr">
        <is>
          <t>none</t>
        </is>
      </c>
      <c r="N282" s="9" t="inlineStr">
        <is>
          <t>no</t>
        </is>
      </c>
      <c r="O282" s="9" t="inlineStr">
        <is>
          <t>unknown</t>
        </is>
      </c>
      <c r="P282" s="9" t="inlineStr"/>
      <c r="Q282" s="9" t="n">
        <v>0</v>
      </c>
      <c r="R282" s="59" t="inlineStr">
        <is>
          <t>Providing a fresh, disposable personal kit for every customer is such a responsible and innovative idea.</t>
        </is>
      </c>
      <c r="S282" s="9" t="inlineStr">
        <is>
          <t>praise</t>
        </is>
      </c>
      <c r="T282" s="9" t="inlineStr">
        <is>
          <t>praise</t>
        </is>
      </c>
      <c r="U282" s="59" t="inlineStr"/>
    </row>
    <row r="283">
      <c r="A283" s="9" t="n">
        <v>282</v>
      </c>
      <c r="B283" s="58" t="n">
        <v>46251</v>
      </c>
      <c r="C283" s="9" t="str">
        <f>TEXT(B283,"yyyy-mm")</f>
        <v>2026-08</v>
      </c>
      <c r="D283" s="9" t="n">
        <v>5</v>
      </c>
      <c r="E283" s="9" t="inlineStr">
        <is>
          <t>18.5.0</t>
        </is>
      </c>
      <c r="F283" s="59" t="inlineStr">
        <is>
          <t>Great experience</t>
        </is>
      </c>
      <c r="G283" s="59" t="inlineStr">
        <is>
          <t>Wonderful service</t>
        </is>
      </c>
      <c r="H283" s="9" t="inlineStr">
        <is>
          <t>praise</t>
        </is>
      </c>
      <c r="I283" s="9" t="inlineStr">
        <is>
          <t>praise_service</t>
        </is>
      </c>
      <c r="J283" s="9" t="inlineStr"/>
      <c r="K283" s="9" t="inlineStr">
        <is>
          <t>no</t>
        </is>
      </c>
      <c r="L283" s="9" t="inlineStr">
        <is>
          <t>no</t>
        </is>
      </c>
      <c r="M283" s="9" t="inlineStr">
        <is>
          <t>none</t>
        </is>
      </c>
      <c r="N283" s="9" t="inlineStr">
        <is>
          <t>no</t>
        </is>
      </c>
      <c r="O283" s="9" t="inlineStr">
        <is>
          <t>unknown</t>
        </is>
      </c>
      <c r="P283" s="9" t="inlineStr"/>
      <c r="Q283" s="9" t="n">
        <v>0</v>
      </c>
      <c r="R283" s="59" t="inlineStr">
        <is>
          <t>Great experience Wonderful service</t>
        </is>
      </c>
      <c r="S283" s="9" t="inlineStr">
        <is>
          <t>praise</t>
        </is>
      </c>
      <c r="T283" s="9" t="inlineStr">
        <is>
          <t>praise</t>
        </is>
      </c>
      <c r="U283" s="59" t="inlineStr"/>
    </row>
    <row r="284">
      <c r="A284" s="9" t="n">
        <v>283</v>
      </c>
      <c r="B284" s="58" t="n">
        <v>46251</v>
      </c>
      <c r="C284" s="9" t="str">
        <f>TEXT(B284,"yyyy-mm")</f>
        <v>2026-08</v>
      </c>
      <c r="D284" s="9" t="n">
        <v>5</v>
      </c>
      <c r="E284" s="9" t="inlineStr">
        <is>
          <t>18.5.0</t>
        </is>
      </c>
      <c r="F284" s="59" t="inlineStr">
        <is>
          <t>Facial and massage</t>
        </is>
      </c>
      <c r="G284" s="59" t="inlineStr">
        <is>
          <t>Service and product was too good</t>
        </is>
      </c>
      <c r="H284" s="9" t="inlineStr">
        <is>
          <t>praise</t>
        </is>
      </c>
      <c r="I284" s="9" t="inlineStr">
        <is>
          <t>praise_service</t>
        </is>
      </c>
      <c r="J284" s="9" t="inlineStr"/>
      <c r="K284" s="9" t="inlineStr">
        <is>
          <t>no</t>
        </is>
      </c>
      <c r="L284" s="9" t="inlineStr">
        <is>
          <t>no</t>
        </is>
      </c>
      <c r="M284" s="9" t="inlineStr">
        <is>
          <t>none</t>
        </is>
      </c>
      <c r="N284" s="9" t="inlineStr">
        <is>
          <t>no</t>
        </is>
      </c>
      <c r="O284" s="9" t="inlineStr">
        <is>
          <t>multiple</t>
        </is>
      </c>
      <c r="P284" s="9" t="inlineStr"/>
      <c r="Q284" s="9" t="n">
        <v>0</v>
      </c>
      <c r="R284" s="59" t="inlineStr">
        <is>
          <t>Facial and massage Service and product was too good</t>
        </is>
      </c>
      <c r="S284" s="9" t="inlineStr">
        <is>
          <t>praise</t>
        </is>
      </c>
      <c r="T284" s="9" t="inlineStr">
        <is>
          <t>praise</t>
        </is>
      </c>
      <c r="U284" s="59" t="inlineStr"/>
    </row>
    <row r="285">
      <c r="A285" s="9" t="n">
        <v>284</v>
      </c>
      <c r="B285" s="58" t="n">
        <v>46250</v>
      </c>
      <c r="C285" s="9" t="str">
        <f>TEXT(B285,"yyyy-mm")</f>
        <v>2026-08</v>
      </c>
      <c r="D285" s="9" t="n">
        <v>1</v>
      </c>
      <c r="E285" s="9" t="inlineStr">
        <is>
          <t>18.5.0</t>
        </is>
      </c>
      <c r="F285" s="59" t="inlineStr">
        <is>
          <t>Worst experience</t>
        </is>
      </c>
      <c r="G285" s="59" t="inlineStr">
        <is>
          <t>Booked salon services three times and all got rejected 
Beautician didn’t show up 
They show slots are available and then they call saying the services cannot be delivered 
Poor management and no accountability just sorry</t>
        </is>
      </c>
      <c r="H285" s="9" t="inlineStr">
        <is>
          <t>partner_cancellation</t>
        </is>
      </c>
      <c r="I285" s="9" t="inlineStr">
        <is>
          <t>no_partner_available</t>
        </is>
      </c>
      <c r="J285" s="9" t="inlineStr"/>
      <c r="K285" s="9" t="inlineStr">
        <is>
          <t>no</t>
        </is>
      </c>
      <c r="L285" s="9" t="inlineStr">
        <is>
          <t>no</t>
        </is>
      </c>
      <c r="M285" s="9" t="inlineStr">
        <is>
          <t>medium</t>
        </is>
      </c>
      <c r="N285" s="9" t="inlineStr">
        <is>
          <t>no</t>
        </is>
      </c>
      <c r="O285" s="9" t="inlineStr">
        <is>
          <t>unknown</t>
        </is>
      </c>
      <c r="P285" s="9" t="inlineStr"/>
      <c r="Q285" s="9" t="n">
        <v>0</v>
      </c>
      <c r="R285" s="59" t="inlineStr">
        <is>
          <t>They show slots are available and then they call saying the services cannot be delivered</t>
        </is>
      </c>
      <c r="S285" s="9" t="inlineStr">
        <is>
          <t>partner_cancellation</t>
        </is>
      </c>
      <c r="T285" s="9" t="inlineStr">
        <is>
          <t>partner_cancellation</t>
        </is>
      </c>
      <c r="U285" s="59" t="inlineStr"/>
    </row>
    <row r="286">
      <c r="A286" s="9" t="n">
        <v>285</v>
      </c>
      <c r="B286" s="58" t="n">
        <v>46250</v>
      </c>
      <c r="C286" s="9" t="str">
        <f>TEXT(B286,"yyyy-mm")</f>
        <v>2026-08</v>
      </c>
      <c r="D286" s="9" t="n">
        <v>1</v>
      </c>
      <c r="E286" s="9" t="inlineStr">
        <is>
          <t>18.5.0</t>
        </is>
      </c>
      <c r="F286" s="59" t="inlineStr">
        <is>
          <t>Worst app and worst service professional</t>
        </is>
      </c>
      <c r="G286" s="59" t="inlineStr">
        <is>
          <t>Recently I booked a Korean wax package but the did not provided me exfoliation which was present in my package , plus the women who came just through the treads here and there worst service ever
It caused me a severe skin infection worst worst worst app</t>
        </is>
      </c>
      <c r="H286" s="9" t="inlineStr">
        <is>
          <t>service_quality</t>
        </is>
      </c>
      <c r="I286" s="9" t="inlineStr">
        <is>
          <t>skin_injury_or_reaction</t>
        </is>
      </c>
      <c r="J286" s="9" t="inlineStr">
        <is>
          <t>price_clarity</t>
        </is>
      </c>
      <c r="K286" s="9" t="inlineStr">
        <is>
          <t>no</t>
        </is>
      </c>
      <c r="L286" s="9" t="inlineStr">
        <is>
          <t>no</t>
        </is>
      </c>
      <c r="M286" s="9" t="inlineStr">
        <is>
          <t>high</t>
        </is>
      </c>
      <c r="N286" s="9" t="inlineStr">
        <is>
          <t>no</t>
        </is>
      </c>
      <c r="O286" s="9" t="inlineStr">
        <is>
          <t>waxing</t>
        </is>
      </c>
      <c r="P286" s="9" t="inlineStr"/>
      <c r="Q286" s="9" t="n">
        <v>0</v>
      </c>
      <c r="R286" s="59" t="inlineStr">
        <is>
          <t>plus the women who came just through the treads here and there worst service ever It caused me a severe skin infection</t>
        </is>
      </c>
      <c r="S286" s="9" t="inlineStr">
        <is>
          <t>service_quality</t>
        </is>
      </c>
      <c r="T286" s="9" t="inlineStr">
        <is>
          <t>service_quality</t>
        </is>
      </c>
      <c r="U286" s="59" t="inlineStr"/>
    </row>
    <row r="287">
      <c r="A287" s="9" t="n">
        <v>286</v>
      </c>
      <c r="B287" s="58" t="n">
        <v>46250</v>
      </c>
      <c r="C287" s="9" t="str">
        <f>TEXT(B287,"yyyy-mm")</f>
        <v>2026-08</v>
      </c>
      <c r="D287" s="9" t="n">
        <v>5</v>
      </c>
      <c r="E287" s="9" t="inlineStr">
        <is>
          <t>18.5.0</t>
        </is>
      </c>
      <c r="F287" s="59" t="inlineStr">
        <is>
          <t>Makeup service review</t>
        </is>
      </c>
      <c r="G287" s="59" t="inlineStr">
        <is>
          <t>I booked the service on urgency and was amazed to see that it was available on my preferred time slot even on a busy festival day.The makeup came out beautiful i was all praises.Thankyou!</t>
        </is>
      </c>
      <c r="H287" s="9" t="inlineStr">
        <is>
          <t>praise</t>
        </is>
      </c>
      <c r="I287" s="9" t="inlineStr">
        <is>
          <t>praise_service</t>
        </is>
      </c>
      <c r="J287" s="9" t="inlineStr"/>
      <c r="K287" s="9" t="inlineStr">
        <is>
          <t>no</t>
        </is>
      </c>
      <c r="L287" s="9" t="inlineStr">
        <is>
          <t>no</t>
        </is>
      </c>
      <c r="M287" s="9" t="inlineStr">
        <is>
          <t>none</t>
        </is>
      </c>
      <c r="N287" s="9" t="inlineStr">
        <is>
          <t>no</t>
        </is>
      </c>
      <c r="O287" s="9" t="inlineStr">
        <is>
          <t>makeup</t>
        </is>
      </c>
      <c r="P287" s="9" t="inlineStr"/>
      <c r="Q287" s="9" t="n">
        <v>0</v>
      </c>
      <c r="R287" s="59" t="inlineStr">
        <is>
          <t>The makeup came out beautiful i was all praises.</t>
        </is>
      </c>
      <c r="S287" s="9" t="inlineStr">
        <is>
          <t>praise</t>
        </is>
      </c>
      <c r="T287" s="9" t="inlineStr">
        <is>
          <t>praise</t>
        </is>
      </c>
      <c r="U287" s="59" t="inlineStr"/>
    </row>
    <row r="288">
      <c r="A288" s="9" t="n">
        <v>287</v>
      </c>
      <c r="B288" s="58" t="n">
        <v>46250</v>
      </c>
      <c r="C288" s="9" t="str">
        <f>TEXT(B288,"yyyy-mm")</f>
        <v>2026-08</v>
      </c>
      <c r="D288" s="9" t="n">
        <v>5</v>
      </c>
      <c r="E288" s="9" t="inlineStr">
        <is>
          <t>18.5.0</t>
        </is>
      </c>
      <c r="F288" s="59" t="inlineStr">
        <is>
          <t>Best saloon at Home app</t>
        </is>
      </c>
      <c r="G288" s="59" t="inlineStr">
        <is>
          <t>Excellent services with good prices</t>
        </is>
      </c>
      <c r="H288" s="9" t="inlineStr">
        <is>
          <t>praise</t>
        </is>
      </c>
      <c r="I288" s="9" t="inlineStr">
        <is>
          <t>praise_value</t>
        </is>
      </c>
      <c r="J288" s="9" t="inlineStr"/>
      <c r="K288" s="9" t="inlineStr">
        <is>
          <t>no</t>
        </is>
      </c>
      <c r="L288" s="9" t="inlineStr">
        <is>
          <t>no</t>
        </is>
      </c>
      <c r="M288" s="9" t="inlineStr">
        <is>
          <t>none</t>
        </is>
      </c>
      <c r="N288" s="9" t="inlineStr">
        <is>
          <t>no</t>
        </is>
      </c>
      <c r="O288" s="9" t="inlineStr">
        <is>
          <t>unknown</t>
        </is>
      </c>
      <c r="P288" s="9" t="inlineStr"/>
      <c r="Q288" s="9" t="n">
        <v>0</v>
      </c>
      <c r="R288" s="59" t="inlineStr">
        <is>
          <t>Excellent services with good prices</t>
        </is>
      </c>
      <c r="S288" s="9" t="inlineStr">
        <is>
          <t>praise</t>
        </is>
      </c>
      <c r="T288" s="9" t="inlineStr">
        <is>
          <t>praise</t>
        </is>
      </c>
      <c r="U288" s="59" t="inlineStr"/>
    </row>
    <row r="289">
      <c r="A289" s="9" t="n">
        <v>288</v>
      </c>
      <c r="B289" s="58" t="n">
        <v>46250</v>
      </c>
      <c r="C289" s="9" t="str">
        <f>TEXT(B289,"yyyy-mm")</f>
        <v>2026-08</v>
      </c>
      <c r="D289" s="9" t="n">
        <v>4</v>
      </c>
      <c r="E289" s="9" t="inlineStr">
        <is>
          <t>18.5.0</t>
        </is>
      </c>
      <c r="F289" s="59" t="inlineStr">
        <is>
          <t>Map doesn’t match address</t>
        </is>
      </c>
      <c r="G289" s="59" t="inlineStr">
        <is>
          <t>We observed that if I book the session for another address, the map doesn’t update to that location so the service providers are going to wrong location. Please check.</t>
        </is>
      </c>
      <c r="H289" s="9" t="inlineStr">
        <is>
          <t>app</t>
        </is>
      </c>
      <c r="I289" s="9" t="inlineStr">
        <is>
          <t>booking_or_checkout_bug</t>
        </is>
      </c>
      <c r="J289" s="9" t="inlineStr"/>
      <c r="K289" s="9" t="inlineStr">
        <is>
          <t>no</t>
        </is>
      </c>
      <c r="L289" s="9" t="inlineStr">
        <is>
          <t>no</t>
        </is>
      </c>
      <c r="M289" s="9" t="inlineStr">
        <is>
          <t>low</t>
        </is>
      </c>
      <c r="N289" s="9" t="inlineStr">
        <is>
          <t>no</t>
        </is>
      </c>
      <c r="O289" s="9" t="inlineStr">
        <is>
          <t>unknown</t>
        </is>
      </c>
      <c r="P289" s="9" t="inlineStr"/>
      <c r="Q289" s="9" t="n">
        <v>0</v>
      </c>
      <c r="R289" s="59" t="inlineStr">
        <is>
          <t>if I book the session for another address, the map doesn’t update to that location so the service providers are going to wrong location.</t>
        </is>
      </c>
      <c r="S289" s="9" t="inlineStr">
        <is>
          <t>app</t>
        </is>
      </c>
      <c r="T289" s="9" t="inlineStr">
        <is>
          <t>app</t>
        </is>
      </c>
      <c r="U289" s="59" t="inlineStr"/>
    </row>
    <row r="290">
      <c r="A290" s="9" t="n">
        <v>289</v>
      </c>
      <c r="B290" s="58" t="n">
        <v>46250</v>
      </c>
      <c r="C290" s="9" t="str">
        <f>TEXT(B290,"yyyy-mm")</f>
        <v>2026-08</v>
      </c>
      <c r="D290" s="9" t="n">
        <v>5</v>
      </c>
      <c r="E290" s="9" t="inlineStr">
        <is>
          <t>18.5.0</t>
        </is>
      </c>
      <c r="F290" s="59" t="inlineStr">
        <is>
          <t>Thoughts</t>
        </is>
      </c>
      <c r="G290" s="59" t="inlineStr">
        <is>
          <t>She was polite, talented and did her job very well. I am happy with her service and will definitely call her next time.</t>
        </is>
      </c>
      <c r="H290" s="9" t="inlineStr">
        <is>
          <t>praise</t>
        </is>
      </c>
      <c r="I290" s="9" t="inlineStr">
        <is>
          <t>praise_professional</t>
        </is>
      </c>
      <c r="J290" s="9" t="inlineStr"/>
      <c r="K290" s="9" t="inlineStr">
        <is>
          <t>no</t>
        </is>
      </c>
      <c r="L290" s="9" t="inlineStr">
        <is>
          <t>no</t>
        </is>
      </c>
      <c r="M290" s="9" t="inlineStr">
        <is>
          <t>none</t>
        </is>
      </c>
      <c r="N290" s="9" t="inlineStr">
        <is>
          <t>no</t>
        </is>
      </c>
      <c r="O290" s="9" t="inlineStr">
        <is>
          <t>unknown</t>
        </is>
      </c>
      <c r="P290" s="9" t="inlineStr"/>
      <c r="Q290" s="9" t="n">
        <v>0</v>
      </c>
      <c r="R290" s="59" t="inlineStr">
        <is>
          <t>She was polite, talented and did her job very well.</t>
        </is>
      </c>
      <c r="S290" s="9" t="inlineStr">
        <is>
          <t>praise</t>
        </is>
      </c>
      <c r="T290" s="9" t="inlineStr">
        <is>
          <t>praise</t>
        </is>
      </c>
      <c r="U290" s="59" t="inlineStr"/>
    </row>
    <row r="291">
      <c r="A291" s="9" t="n">
        <v>290</v>
      </c>
      <c r="B291" s="58" t="n">
        <v>46249</v>
      </c>
      <c r="C291" s="9" t="str">
        <f>TEXT(B291,"yyyy-mm")</f>
        <v>2026-08</v>
      </c>
      <c r="D291" s="9" t="n">
        <v>1</v>
      </c>
      <c r="E291" s="9" t="inlineStr">
        <is>
          <t>18.5.0</t>
        </is>
      </c>
      <c r="F291" s="59" t="inlineStr">
        <is>
          <t>Poor</t>
        </is>
      </c>
      <c r="G291" s="59" t="inlineStr">
        <is>
          <t>Bad service.. Bad staff.. Poor management</t>
        </is>
      </c>
      <c r="H291" s="9" t="inlineStr">
        <is>
          <t>other</t>
        </is>
      </c>
      <c r="I291" s="9" t="inlineStr">
        <is>
          <t>unclear</t>
        </is>
      </c>
      <c r="J291" s="9" t="inlineStr"/>
      <c r="K291" s="9" t="inlineStr">
        <is>
          <t>no</t>
        </is>
      </c>
      <c r="L291" s="9" t="inlineStr">
        <is>
          <t>no</t>
        </is>
      </c>
      <c r="M291" s="9" t="inlineStr">
        <is>
          <t>low</t>
        </is>
      </c>
      <c r="N291" s="9" t="inlineStr">
        <is>
          <t>no</t>
        </is>
      </c>
      <c r="O291" s="9" t="inlineStr">
        <is>
          <t>unknown</t>
        </is>
      </c>
      <c r="P291" s="9" t="inlineStr"/>
      <c r="Q291" s="9" t="n">
        <v>0</v>
      </c>
      <c r="R291" s="59" t="inlineStr">
        <is>
          <t>Bad service.. Bad staff.. Poor management</t>
        </is>
      </c>
      <c r="S291" s="9" t="inlineStr">
        <is>
          <t>other</t>
        </is>
      </c>
      <c r="T291" s="9" t="inlineStr">
        <is>
          <t>other</t>
        </is>
      </c>
      <c r="U291" s="59" t="inlineStr"/>
    </row>
    <row r="292">
      <c r="A292" s="9" t="n">
        <v>291</v>
      </c>
      <c r="B292" s="58" t="n">
        <v>46249</v>
      </c>
      <c r="C292" s="9" t="str">
        <f>TEXT(B292,"yyyy-mm")</f>
        <v>2026-08</v>
      </c>
      <c r="D292" s="9" t="n">
        <v>1</v>
      </c>
      <c r="E292" s="9" t="inlineStr">
        <is>
          <t>18.5.0</t>
        </is>
      </c>
      <c r="F292" s="59" t="inlineStr">
        <is>
          <t>Not Recommended</t>
        </is>
      </c>
      <c r="G292" s="59" t="inlineStr">
        <is>
          <t>Worst service ever. I’ll never book Yes Madam again. The professional was completely untrained, she couldn’t properly do eyebrows, cut nails, or even file them.
She also came with only one kit despite two people booking manicure and pedicure services, forcing one of us to cancel part of the service. When I complained, she suggested sharing the same kit, which is unacceptable from both a service and hygiene perspective.
The equipment was poorly maintained, smelled bad, and basic hygiene was clearly not followed. Extremely disappointing, especially since we had planned to enjoy the service on a holiday.</t>
        </is>
      </c>
      <c r="H292" s="9" t="inlineStr">
        <is>
          <t>service_quality</t>
        </is>
      </c>
      <c r="I292" s="9" t="inlineStr">
        <is>
          <t>poor_skill</t>
        </is>
      </c>
      <c r="J292" s="9" t="inlineStr">
        <is>
          <t>product_fit</t>
        </is>
      </c>
      <c r="K292" s="9" t="inlineStr">
        <is>
          <t>no</t>
        </is>
      </c>
      <c r="L292" s="9" t="inlineStr">
        <is>
          <t>no</t>
        </is>
      </c>
      <c r="M292" s="9" t="inlineStr">
        <is>
          <t>medium</t>
        </is>
      </c>
      <c r="N292" s="9" t="inlineStr">
        <is>
          <t>yes</t>
        </is>
      </c>
      <c r="O292" s="9" t="inlineStr">
        <is>
          <t>multiple</t>
        </is>
      </c>
      <c r="P292" s="9" t="inlineStr"/>
      <c r="Q292" s="9" t="n">
        <v>0</v>
      </c>
      <c r="R292" s="59" t="inlineStr">
        <is>
          <t>The professional was completely untrained, she couldn’t properly do eyebrows, cut nails, or even file them.</t>
        </is>
      </c>
      <c r="S292" s="9" t="inlineStr">
        <is>
          <t>service_quality</t>
        </is>
      </c>
      <c r="T292" s="9" t="inlineStr">
        <is>
          <t>service_quality</t>
        </is>
      </c>
      <c r="U292" s="59" t="inlineStr"/>
    </row>
    <row r="293">
      <c r="A293" s="9" t="n">
        <v>292</v>
      </c>
      <c r="B293" s="58" t="n">
        <v>46249</v>
      </c>
      <c r="C293" s="9" t="str">
        <f>TEXT(B293,"yyyy-mm")</f>
        <v>2026-08</v>
      </c>
      <c r="D293" s="9" t="n">
        <v>5</v>
      </c>
      <c r="E293" s="9" t="inlineStr">
        <is>
          <t>18.5.0</t>
        </is>
      </c>
      <c r="F293" s="59" t="inlineStr">
        <is>
          <t>wax</t>
        </is>
      </c>
      <c r="G293" s="59" t="inlineStr">
        <is>
          <t>best service</t>
        </is>
      </c>
      <c r="H293" s="9" t="inlineStr">
        <is>
          <t>praise</t>
        </is>
      </c>
      <c r="I293" s="9" t="inlineStr">
        <is>
          <t>praise_service</t>
        </is>
      </c>
      <c r="J293" s="9" t="inlineStr"/>
      <c r="K293" s="9" t="inlineStr">
        <is>
          <t>no</t>
        </is>
      </c>
      <c r="L293" s="9" t="inlineStr">
        <is>
          <t>no</t>
        </is>
      </c>
      <c r="M293" s="9" t="inlineStr">
        <is>
          <t>none</t>
        </is>
      </c>
      <c r="N293" s="9" t="inlineStr">
        <is>
          <t>no</t>
        </is>
      </c>
      <c r="O293" s="9" t="inlineStr">
        <is>
          <t>waxing</t>
        </is>
      </c>
      <c r="P293" s="9" t="inlineStr"/>
      <c r="Q293" s="9" t="n">
        <v>0</v>
      </c>
      <c r="R293" s="59" t="inlineStr">
        <is>
          <t>wax best service</t>
        </is>
      </c>
      <c r="S293" s="9" t="inlineStr">
        <is>
          <t>praise</t>
        </is>
      </c>
      <c r="T293" s="9" t="inlineStr">
        <is>
          <t>praise</t>
        </is>
      </c>
      <c r="U293" s="59" t="inlineStr"/>
    </row>
    <row r="294">
      <c r="A294" s="9" t="n">
        <v>293</v>
      </c>
      <c r="B294" s="58" t="n">
        <v>46249</v>
      </c>
      <c r="C294" s="9" t="str">
        <f>TEXT(B294,"yyyy-mm")</f>
        <v>2026-08</v>
      </c>
      <c r="D294" s="9" t="n">
        <v>1</v>
      </c>
      <c r="E294" s="9" t="inlineStr">
        <is>
          <t>18.5.0</t>
        </is>
      </c>
      <c r="F294" s="59" t="inlineStr">
        <is>
          <t>Worst service</t>
        </is>
      </c>
      <c r="G294" s="59" t="inlineStr">
        <is>
          <t>Never book from Yes Madam they keep rescheduling Urban Company is best they never delayed always on time</t>
        </is>
      </c>
      <c r="H294" s="9" t="inlineStr">
        <is>
          <t>partner_cancellation</t>
        </is>
      </c>
      <c r="I294" s="9" t="inlineStr">
        <is>
          <t>repeated_reschedule</t>
        </is>
      </c>
      <c r="J294" s="9" t="inlineStr"/>
      <c r="K294" s="9" t="inlineStr">
        <is>
          <t>no</t>
        </is>
      </c>
      <c r="L294" s="9" t="inlineStr">
        <is>
          <t>no</t>
        </is>
      </c>
      <c r="M294" s="9" t="inlineStr">
        <is>
          <t>medium</t>
        </is>
      </c>
      <c r="N294" s="9" t="inlineStr">
        <is>
          <t>no</t>
        </is>
      </c>
      <c r="O294" s="9" t="inlineStr">
        <is>
          <t>unknown</t>
        </is>
      </c>
      <c r="P294" s="9" t="inlineStr"/>
      <c r="Q294" s="9" t="n">
        <v>0</v>
      </c>
      <c r="R294" s="59" t="inlineStr">
        <is>
          <t>Never book from Yes Madam they keep rescheduling Urban Company is best they never delayed always on time</t>
        </is>
      </c>
      <c r="S294" s="9" t="inlineStr">
        <is>
          <t>partner_cancellation</t>
        </is>
      </c>
      <c r="T294" s="9" t="inlineStr">
        <is>
          <t>partner_cancellation</t>
        </is>
      </c>
      <c r="U294" s="59" t="inlineStr"/>
    </row>
    <row r="295">
      <c r="A295" s="9" t="n">
        <v>294</v>
      </c>
      <c r="B295" s="58" t="n">
        <v>46249</v>
      </c>
      <c r="C295" s="9" t="str">
        <f>TEXT(B295,"yyyy-mm")</f>
        <v>2026-08</v>
      </c>
      <c r="D295" s="9" t="n">
        <v>5</v>
      </c>
      <c r="E295" s="9" t="inlineStr">
        <is>
          <t>18.5.0</t>
        </is>
      </c>
      <c r="F295" s="59" t="inlineStr">
        <is>
          <t>Massage Service</t>
        </is>
      </c>
      <c r="G295" s="59" t="inlineStr">
        <is>
          <t>Professional service by [name]. Good behaviour.</t>
        </is>
      </c>
      <c r="H295" s="9" t="inlineStr">
        <is>
          <t>praise</t>
        </is>
      </c>
      <c r="I295" s="9" t="inlineStr">
        <is>
          <t>praise_professional</t>
        </is>
      </c>
      <c r="J295" s="9" t="inlineStr"/>
      <c r="K295" s="9" t="inlineStr">
        <is>
          <t>no</t>
        </is>
      </c>
      <c r="L295" s="9" t="inlineStr">
        <is>
          <t>no</t>
        </is>
      </c>
      <c r="M295" s="9" t="inlineStr">
        <is>
          <t>none</t>
        </is>
      </c>
      <c r="N295" s="9" t="inlineStr">
        <is>
          <t>no</t>
        </is>
      </c>
      <c r="O295" s="9" t="inlineStr">
        <is>
          <t>massage_spa</t>
        </is>
      </c>
      <c r="P295" s="9" t="inlineStr"/>
      <c r="Q295" s="9" t="n">
        <v>0</v>
      </c>
      <c r="R295" s="59" t="inlineStr">
        <is>
          <t>Professional service by [name]. Good behaviour.</t>
        </is>
      </c>
      <c r="S295" s="9" t="inlineStr">
        <is>
          <t>praise</t>
        </is>
      </c>
      <c r="T295" s="9" t="inlineStr">
        <is>
          <t>praise</t>
        </is>
      </c>
      <c r="U295" s="59" t="inlineStr"/>
    </row>
    <row r="296">
      <c r="A296" s="9" t="n">
        <v>295</v>
      </c>
      <c r="B296" s="58" t="n">
        <v>46248</v>
      </c>
      <c r="C296" s="9" t="str">
        <f>TEXT(B296,"yyyy-mm")</f>
        <v>2026-08</v>
      </c>
      <c r="D296" s="9" t="n">
        <v>1</v>
      </c>
      <c r="E296" s="9" t="inlineStr">
        <is>
          <t>18.5.0</t>
        </is>
      </c>
      <c r="F296" s="59" t="inlineStr">
        <is>
          <t>Poor hygiene, Bad application</t>
        </is>
      </c>
      <c r="G296" s="59" t="inlineStr">
        <is>
          <t>Professional showed up 30 mins early, she didn’t use the products correctly, poor maintenance of products.</t>
        </is>
      </c>
      <c r="H296" s="9" t="inlineStr">
        <is>
          <t>service_quality</t>
        </is>
      </c>
      <c r="I296" s="9" t="inlineStr">
        <is>
          <t>hygiene</t>
        </is>
      </c>
      <c r="J296" s="9" t="inlineStr"/>
      <c r="K296" s="9" t="inlineStr">
        <is>
          <t>no</t>
        </is>
      </c>
      <c r="L296" s="9" t="inlineStr">
        <is>
          <t>no</t>
        </is>
      </c>
      <c r="M296" s="9" t="inlineStr">
        <is>
          <t>medium</t>
        </is>
      </c>
      <c r="N296" s="9" t="inlineStr">
        <is>
          <t>no</t>
        </is>
      </c>
      <c r="O296" s="9" t="inlineStr">
        <is>
          <t>unknown</t>
        </is>
      </c>
      <c r="P296" s="9" t="inlineStr"/>
      <c r="Q296" s="9" t="n">
        <v>0</v>
      </c>
      <c r="R296" s="59" t="inlineStr">
        <is>
          <t>Professional showed up 30 mins early, she didn’t use the products correctly, poor maintenance of products.</t>
        </is>
      </c>
      <c r="S296" s="9" t="inlineStr">
        <is>
          <t>service_quality</t>
        </is>
      </c>
      <c r="T296" s="9" t="inlineStr">
        <is>
          <t>service_quality</t>
        </is>
      </c>
      <c r="U296" s="59" t="inlineStr"/>
    </row>
    <row r="297">
      <c r="A297" s="9" t="n">
        <v>296</v>
      </c>
      <c r="B297" s="58" t="n">
        <v>46248</v>
      </c>
      <c r="C297" s="9" t="str">
        <f>TEXT(B297,"yyyy-mm")</f>
        <v>2026-08</v>
      </c>
      <c r="D297" s="9" t="n">
        <v>5</v>
      </c>
      <c r="E297" s="9" t="inlineStr">
        <is>
          <t>18.5.0</t>
        </is>
      </c>
      <c r="F297" s="59" t="inlineStr">
        <is>
          <t>[name]</t>
        </is>
      </c>
      <c r="G297" s="59" t="inlineStr">
        <is>
          <t>Professional,nd very sweet</t>
        </is>
      </c>
      <c r="H297" s="9" t="inlineStr">
        <is>
          <t>praise</t>
        </is>
      </c>
      <c r="I297" s="9" t="inlineStr">
        <is>
          <t>praise_professional</t>
        </is>
      </c>
      <c r="J297" s="9" t="inlineStr"/>
      <c r="K297" s="9" t="inlineStr">
        <is>
          <t>no</t>
        </is>
      </c>
      <c r="L297" s="9" t="inlineStr">
        <is>
          <t>no</t>
        </is>
      </c>
      <c r="M297" s="9" t="inlineStr">
        <is>
          <t>none</t>
        </is>
      </c>
      <c r="N297" s="9" t="inlineStr">
        <is>
          <t>no</t>
        </is>
      </c>
      <c r="O297" s="9" t="inlineStr">
        <is>
          <t>unknown</t>
        </is>
      </c>
      <c r="P297" s="9" t="inlineStr"/>
      <c r="Q297" s="9" t="n">
        <v>0</v>
      </c>
      <c r="R297" s="59" t="inlineStr">
        <is>
          <t>Professional,nd very sweet</t>
        </is>
      </c>
      <c r="S297" s="9" t="inlineStr">
        <is>
          <t>praise</t>
        </is>
      </c>
      <c r="T297" s="9" t="inlineStr">
        <is>
          <t>praise</t>
        </is>
      </c>
      <c r="U297" s="59" t="inlineStr"/>
    </row>
    <row r="298">
      <c r="A298" s="9" t="n">
        <v>297</v>
      </c>
      <c r="B298" s="58" t="n">
        <v>46248</v>
      </c>
      <c r="C298" s="9" t="str">
        <f>TEXT(B298,"yyyy-mm")</f>
        <v>2026-08</v>
      </c>
      <c r="D298" s="9" t="n">
        <v>5</v>
      </c>
      <c r="E298" s="9" t="inlineStr">
        <is>
          <t>18.5.0</t>
        </is>
      </c>
      <c r="F298" s="59" t="inlineStr">
        <is>
          <t>Services is good</t>
        </is>
      </c>
      <c r="G298" s="59" t="inlineStr">
        <is>
          <t>I took multiple services and it’s good and recommendable</t>
        </is>
      </c>
      <c r="H298" s="9" t="inlineStr">
        <is>
          <t>praise</t>
        </is>
      </c>
      <c r="I298" s="9" t="inlineStr">
        <is>
          <t>praise_service</t>
        </is>
      </c>
      <c r="J298" s="9" t="inlineStr"/>
      <c r="K298" s="9" t="inlineStr">
        <is>
          <t>no</t>
        </is>
      </c>
      <c r="L298" s="9" t="inlineStr">
        <is>
          <t>no</t>
        </is>
      </c>
      <c r="M298" s="9" t="inlineStr">
        <is>
          <t>none</t>
        </is>
      </c>
      <c r="N298" s="9" t="inlineStr">
        <is>
          <t>no</t>
        </is>
      </c>
      <c r="O298" s="9" t="inlineStr">
        <is>
          <t>multiple</t>
        </is>
      </c>
      <c r="P298" s="9" t="inlineStr"/>
      <c r="Q298" s="9" t="n">
        <v>0</v>
      </c>
      <c r="R298" s="59" t="inlineStr">
        <is>
          <t>I took multiple services and it’s good and recommendable</t>
        </is>
      </c>
      <c r="S298" s="9" t="inlineStr">
        <is>
          <t>praise</t>
        </is>
      </c>
      <c r="T298" s="9" t="inlineStr">
        <is>
          <t>praise</t>
        </is>
      </c>
      <c r="U298" s="59" t="inlineStr"/>
    </row>
    <row r="299">
      <c r="A299" s="9" t="n">
        <v>298</v>
      </c>
      <c r="B299" s="58" t="n">
        <v>46247</v>
      </c>
      <c r="C299" s="9" t="str">
        <f>TEXT(B299,"yyyy-mm")</f>
        <v>2026-08</v>
      </c>
      <c r="D299" s="9" t="n">
        <v>5</v>
      </c>
      <c r="E299" s="9" t="inlineStr">
        <is>
          <t>18.5.0</t>
        </is>
      </c>
      <c r="F299" s="59" t="inlineStr">
        <is>
          <t>Very nice</t>
        </is>
      </c>
      <c r="G299" s="59" t="inlineStr">
        <is>
          <t>Best app for salon service</t>
        </is>
      </c>
      <c r="H299" s="9" t="inlineStr">
        <is>
          <t>praise</t>
        </is>
      </c>
      <c r="I299" s="9" t="inlineStr">
        <is>
          <t>praise_service</t>
        </is>
      </c>
      <c r="J299" s="9" t="inlineStr"/>
      <c r="K299" s="9" t="inlineStr">
        <is>
          <t>no</t>
        </is>
      </c>
      <c r="L299" s="9" t="inlineStr">
        <is>
          <t>no</t>
        </is>
      </c>
      <c r="M299" s="9" t="inlineStr">
        <is>
          <t>none</t>
        </is>
      </c>
      <c r="N299" s="9" t="inlineStr">
        <is>
          <t>no</t>
        </is>
      </c>
      <c r="O299" s="9" t="inlineStr">
        <is>
          <t>unknown</t>
        </is>
      </c>
      <c r="P299" s="9" t="inlineStr"/>
      <c r="Q299" s="9" t="n">
        <v>0</v>
      </c>
      <c r="R299" s="59" t="inlineStr">
        <is>
          <t>Very nice Best app for salon service</t>
        </is>
      </c>
      <c r="S299" s="9" t="inlineStr">
        <is>
          <t>praise</t>
        </is>
      </c>
      <c r="T299" s="9" t="inlineStr">
        <is>
          <t>praise</t>
        </is>
      </c>
      <c r="U299" s="59" t="inlineStr"/>
    </row>
    <row r="300">
      <c r="A300" s="9" t="n">
        <v>299</v>
      </c>
      <c r="B300" s="58" t="n">
        <v>46247</v>
      </c>
      <c r="C300" s="9" t="str">
        <f>TEXT(B300,"yyyy-mm")</f>
        <v>2026-08</v>
      </c>
      <c r="D300" s="9" t="n">
        <v>5</v>
      </c>
      <c r="E300" s="9" t="inlineStr">
        <is>
          <t>18.5.0</t>
        </is>
      </c>
      <c r="F300" s="59" t="inlineStr">
        <is>
          <t>Hairspa</t>
        </is>
      </c>
      <c r="G300" s="59" t="inlineStr">
        <is>
          <t>Very nice</t>
        </is>
      </c>
      <c r="H300" s="9" t="inlineStr">
        <is>
          <t>praise</t>
        </is>
      </c>
      <c r="I300" s="9" t="inlineStr">
        <is>
          <t>praise_service</t>
        </is>
      </c>
      <c r="J300" s="9" t="inlineStr"/>
      <c r="K300" s="9" t="inlineStr">
        <is>
          <t>no</t>
        </is>
      </c>
      <c r="L300" s="9" t="inlineStr">
        <is>
          <t>no</t>
        </is>
      </c>
      <c r="M300" s="9" t="inlineStr">
        <is>
          <t>none</t>
        </is>
      </c>
      <c r="N300" s="9" t="inlineStr">
        <is>
          <t>no</t>
        </is>
      </c>
      <c r="O300" s="9" t="inlineStr">
        <is>
          <t>hair</t>
        </is>
      </c>
      <c r="P300" s="9" t="inlineStr"/>
      <c r="Q300" s="9" t="n">
        <v>0</v>
      </c>
      <c r="R300" s="59" t="inlineStr">
        <is>
          <t>Hairspa Very nice</t>
        </is>
      </c>
      <c r="S300" s="9" t="inlineStr">
        <is>
          <t>praise</t>
        </is>
      </c>
      <c r="T300" s="9" t="inlineStr">
        <is>
          <t>praise</t>
        </is>
      </c>
      <c r="U300" s="59" t="inlineStr"/>
    </row>
    <row r="301">
      <c r="A301" s="9" t="n">
        <v>300</v>
      </c>
      <c r="B301" s="58" t="n">
        <v>46246</v>
      </c>
      <c r="C301" s="9" t="str">
        <f>TEXT(B301,"yyyy-mm")</f>
        <v>2026-08</v>
      </c>
      <c r="D301" s="9" t="n">
        <v>5</v>
      </c>
      <c r="E301" s="9" t="inlineStr">
        <is>
          <t>18.5.0</t>
        </is>
      </c>
      <c r="F301" s="59" t="inlineStr">
        <is>
          <t>Best spa service available at the comfort of your home 🏠👍👍😊</t>
        </is>
      </c>
      <c r="G301" s="59" t="inlineStr">
        <is>
          <t>Excellently performed by ms [name]</t>
        </is>
      </c>
      <c r="H301" s="9" t="inlineStr">
        <is>
          <t>praise</t>
        </is>
      </c>
      <c r="I301" s="9" t="inlineStr">
        <is>
          <t>praise_professional</t>
        </is>
      </c>
      <c r="J301" s="9" t="inlineStr"/>
      <c r="K301" s="9" t="inlineStr">
        <is>
          <t>no</t>
        </is>
      </c>
      <c r="L301" s="9" t="inlineStr">
        <is>
          <t>no</t>
        </is>
      </c>
      <c r="M301" s="9" t="inlineStr">
        <is>
          <t>none</t>
        </is>
      </c>
      <c r="N301" s="9" t="inlineStr">
        <is>
          <t>no</t>
        </is>
      </c>
      <c r="O301" s="9" t="inlineStr">
        <is>
          <t>massage_spa</t>
        </is>
      </c>
      <c r="P301" s="9" t="inlineStr"/>
      <c r="Q301" s="9" t="n">
        <v>0</v>
      </c>
      <c r="R301" s="59" t="inlineStr">
        <is>
          <t>Best spa service available at the comfort of your home Excellently performed by ms [name]</t>
        </is>
      </c>
      <c r="S301" s="9" t="inlineStr">
        <is>
          <t>praise</t>
        </is>
      </c>
      <c r="T301" s="9" t="inlineStr">
        <is>
          <t>praise</t>
        </is>
      </c>
      <c r="U301" s="59" t="inlineStr"/>
    </row>
    <row r="302">
      <c r="A302" s="9" t="n">
        <v>301</v>
      </c>
      <c r="B302" s="58" t="n">
        <v>46245</v>
      </c>
      <c r="C302" s="9" t="str">
        <f>TEXT(B302,"yyyy-mm")</f>
        <v>2026-08</v>
      </c>
      <c r="D302" s="9" t="n">
        <v>1</v>
      </c>
      <c r="E302" s="9" t="inlineStr">
        <is>
          <t>18.5.0</t>
        </is>
      </c>
      <c r="F302" s="59" t="inlineStr">
        <is>
          <t>WORST SERVICE</t>
        </is>
      </c>
      <c r="G302" s="59" t="inlineStr">
        <is>
          <t>Pathetic service - the service providers are not professional at all. The work done was below average- I did not get any support from customer care as well. Deleted the app right away.</t>
        </is>
      </c>
      <c r="H302" s="9" t="inlineStr">
        <is>
          <t>service_quality</t>
        </is>
      </c>
      <c r="I302" s="9" t="inlineStr">
        <is>
          <t>poor_skill</t>
        </is>
      </c>
      <c r="J302" s="9" t="inlineStr">
        <is>
          <t>support</t>
        </is>
      </c>
      <c r="K302" s="9" t="inlineStr">
        <is>
          <t>yes</t>
        </is>
      </c>
      <c r="L302" s="9" t="inlineStr">
        <is>
          <t>yes</t>
        </is>
      </c>
      <c r="M302" s="9" t="inlineStr">
        <is>
          <t>medium</t>
        </is>
      </c>
      <c r="N302" s="9" t="inlineStr">
        <is>
          <t>yes</t>
        </is>
      </c>
      <c r="O302" s="9" t="inlineStr">
        <is>
          <t>unknown</t>
        </is>
      </c>
      <c r="P302" s="9" t="inlineStr"/>
      <c r="Q302" s="9" t="n">
        <v>0</v>
      </c>
      <c r="R302" s="59" t="inlineStr">
        <is>
          <t>the service providers are not professional at all. The work done was below average</t>
        </is>
      </c>
      <c r="S302" s="9" t="inlineStr">
        <is>
          <t>service_quality</t>
        </is>
      </c>
      <c r="T302" s="9" t="inlineStr">
        <is>
          <t>service_quality</t>
        </is>
      </c>
      <c r="U302" s="59" t="inlineStr"/>
    </row>
    <row r="303">
      <c r="A303" s="9" t="n">
        <v>302</v>
      </c>
      <c r="B303" s="58" t="n">
        <v>46245</v>
      </c>
      <c r="C303" s="9" t="str">
        <f>TEXT(B303,"yyyy-mm")</f>
        <v>2026-08</v>
      </c>
      <c r="D303" s="9" t="n">
        <v>5</v>
      </c>
      <c r="E303" s="9" t="inlineStr">
        <is>
          <t>18.5.0</t>
        </is>
      </c>
      <c r="F303" s="59" t="inlineStr">
        <is>
          <t>Extremely Disappointing Experience – Beware Before Booking</t>
        </is>
      </c>
      <c r="G303" s="59" t="inlineStr">
        <is>
          <t>My experience with Yes Madam has been extremely disappointing, and honestly, enough is enough. My booking ID [id]
This is the 3rd time my booking has been cancelled. The first two times, the Yes Madam app automatically changed the address, which resulted in my bookings getting cancelled. The third time, the beautician herself informed me that she would not be able to come, because of which I had to cancel the service.
What makes this even worse is the payment issue. I have been charged around ₹2,700, while the app is showing an amount of only around ₹900. There is absolutely no proper visibility or transparency about what I have been charged for and where my money has gone.
Every single time, I booked the service because I had an important event to attend, expecting to get ready on time. Instead, because of these repeated cancellations and problems, I ended up having to attend these events looking completely unprepared.
I have given Yes Madam multiple chances, but this has happened three times now. This is not just an inconvenience anymore — it is a complete waste of my time, money, and trust.
I strongly advise people to think twice before booking with Yes Madam. Based on my experience, I would not recommend this service to anyone until they improve their booking system, customer support, cancellations, and especially their payment transparency.
I am now going to raise this issue and ask for a complete explanation and refund of the amount that has been wrongly/unclearly charged.
Enough is enough. I will not be staying quiet about this anymore.</t>
        </is>
      </c>
      <c r="H303" s="9" t="inlineStr">
        <is>
          <t>payment_refund</t>
        </is>
      </c>
      <c r="I303" s="9" t="inlineStr">
        <is>
          <t>charged_not_served</t>
        </is>
      </c>
      <c r="J303" s="9" t="inlineStr">
        <is>
          <t>partner_cancellation, app</t>
        </is>
      </c>
      <c r="K303" s="9" t="inlineStr">
        <is>
          <t>no</t>
        </is>
      </c>
      <c r="L303" s="9" t="inlineStr">
        <is>
          <t>no</t>
        </is>
      </c>
      <c r="M303" s="9" t="inlineStr">
        <is>
          <t>high</t>
        </is>
      </c>
      <c r="N303" s="9" t="inlineStr">
        <is>
          <t>no</t>
        </is>
      </c>
      <c r="O303" s="9" t="inlineStr">
        <is>
          <t>unknown</t>
        </is>
      </c>
      <c r="P303" s="9" t="inlineStr"/>
      <c r="Q303" s="9" t="n">
        <v>2700</v>
      </c>
      <c r="R303" s="59" t="inlineStr">
        <is>
          <t>I have been charged around ₹2,700, while the app is showing an amount of only around ₹900.</t>
        </is>
      </c>
      <c r="S303" s="9" t="inlineStr">
        <is>
          <t>payment_refund</t>
        </is>
      </c>
      <c r="T303" s="9" t="inlineStr">
        <is>
          <t>partner_cancellation</t>
        </is>
      </c>
      <c r="U303" s="59" t="inlineStr">
        <is>
          <t>All three bookings were cancelled yet about Rs 2,700 was charged against Rs 900 shown; she is raising a refund claim (rule 4); cancellations (app address bug, beautician drop-out) are secondary.</t>
        </is>
      </c>
    </row>
    <row r="304">
      <c r="A304" s="9" t="n">
        <v>303</v>
      </c>
      <c r="B304" s="58" t="n">
        <v>46244</v>
      </c>
      <c r="C304" s="9" t="str">
        <f>TEXT(B304,"yyyy-mm")</f>
        <v>2026-08</v>
      </c>
      <c r="D304" s="9" t="n">
        <v>5</v>
      </c>
      <c r="E304" s="9" t="inlineStr">
        <is>
          <t>18.5.0</t>
        </is>
      </c>
      <c r="F304" s="59" t="inlineStr">
        <is>
          <t>Good service [name]</t>
        </is>
      </c>
      <c r="G304" s="59" t="inlineStr">
        <is>
          <t>[name] is good girl and facial to bahut hi achha kiya hai mera i am so happy  this service ❤️❤️❤️❤️
[name]</t>
        </is>
      </c>
      <c r="H304" s="9" t="inlineStr">
        <is>
          <t>praise</t>
        </is>
      </c>
      <c r="I304" s="9" t="inlineStr">
        <is>
          <t>praise_professional</t>
        </is>
      </c>
      <c r="J304" s="9" t="inlineStr"/>
      <c r="K304" s="9" t="inlineStr">
        <is>
          <t>no</t>
        </is>
      </c>
      <c r="L304" s="9" t="inlineStr">
        <is>
          <t>no</t>
        </is>
      </c>
      <c r="M304" s="9" t="inlineStr">
        <is>
          <t>none</t>
        </is>
      </c>
      <c r="N304" s="9" t="inlineStr">
        <is>
          <t>no</t>
        </is>
      </c>
      <c r="O304" s="9" t="inlineStr">
        <is>
          <t>facial_cleanup</t>
        </is>
      </c>
      <c r="P304" s="9" t="inlineStr"/>
      <c r="Q304" s="9" t="n">
        <v>0</v>
      </c>
      <c r="R304" s="59" t="inlineStr">
        <is>
          <t>[name] is good girl and facial to bahut hi achha kiya hai mera i am so happy</t>
        </is>
      </c>
      <c r="S304" s="9" t="inlineStr">
        <is>
          <t>praise</t>
        </is>
      </c>
      <c r="T304" s="9" t="inlineStr">
        <is>
          <t>praise</t>
        </is>
      </c>
      <c r="U304" s="59" t="inlineStr"/>
    </row>
    <row r="305">
      <c r="A305" s="9" t="n">
        <v>304</v>
      </c>
      <c r="B305" s="58" t="n">
        <v>46244</v>
      </c>
      <c r="C305" s="9" t="str">
        <f>TEXT(B305,"yyyy-mm")</f>
        <v>2026-08</v>
      </c>
      <c r="D305" s="9" t="n">
        <v>4</v>
      </c>
      <c r="E305" s="9" t="inlineStr">
        <is>
          <t>18.5.0</t>
        </is>
      </c>
      <c r="F305" s="59" t="inlineStr">
        <is>
          <t>[name]</t>
        </is>
      </c>
      <c r="G305" s="59" t="inlineStr">
        <is>
          <t>[name], give me best Hydra service. She doing my hydra facial. It’s really relaxing, really comfortable. I enjoying my facial at home and she guides me what I decide to do facial like derma  for my she gives me best service. She guide me to. I am really thankful to [name]. She’s good, [name].</t>
        </is>
      </c>
      <c r="H305" s="9" t="inlineStr">
        <is>
          <t>praise</t>
        </is>
      </c>
      <c r="I305" s="9" t="inlineStr">
        <is>
          <t>praise_professional</t>
        </is>
      </c>
      <c r="J305" s="9" t="inlineStr"/>
      <c r="K305" s="9" t="inlineStr">
        <is>
          <t>no</t>
        </is>
      </c>
      <c r="L305" s="9" t="inlineStr">
        <is>
          <t>no</t>
        </is>
      </c>
      <c r="M305" s="9" t="inlineStr">
        <is>
          <t>none</t>
        </is>
      </c>
      <c r="N305" s="9" t="inlineStr">
        <is>
          <t>no</t>
        </is>
      </c>
      <c r="O305" s="9" t="inlineStr">
        <is>
          <t>facial_cleanup</t>
        </is>
      </c>
      <c r="P305" s="9" t="inlineStr"/>
      <c r="Q305" s="9" t="n">
        <v>0</v>
      </c>
      <c r="R305" s="59" t="inlineStr">
        <is>
          <t>[name], give me best Hydra service. She doing my hydra facial. It’s really relaxing, really comfortable.</t>
        </is>
      </c>
      <c r="S305" s="9" t="inlineStr">
        <is>
          <t>praise</t>
        </is>
      </c>
      <c r="T305" s="9" t="inlineStr">
        <is>
          <t>praise</t>
        </is>
      </c>
      <c r="U305" s="59" t="inlineStr"/>
    </row>
    <row r="306">
      <c r="A306" s="9" t="n">
        <v>305</v>
      </c>
      <c r="B306" s="58" t="n">
        <v>46244</v>
      </c>
      <c r="C306" s="9" t="str">
        <f>TEXT(B306,"yyyy-mm")</f>
        <v>2026-08</v>
      </c>
      <c r="D306" s="9" t="n">
        <v>1</v>
      </c>
      <c r="E306" s="9" t="inlineStr">
        <is>
          <t>18.5.0</t>
        </is>
      </c>
      <c r="F306" s="59" t="inlineStr">
        <is>
          <t>DO NOT BOOK WITH THEM EVER</t>
        </is>
      </c>
      <c r="G306" s="59" t="inlineStr">
        <is>
          <t>Absolutely worthless they will show alot and deliver nothing 
They cancel booking last moment even after payment 
I tried to get services twice and they disappointed each time horribly 
I would suggest to stick with Urban company and they really listen and get u service on time as promised Yes madam=No Madam alwayz</t>
        </is>
      </c>
      <c r="H306" s="9" t="inlineStr">
        <is>
          <t>partner_cancellation</t>
        </is>
      </c>
      <c r="I306" s="9" t="inlineStr">
        <is>
          <t>last_minute_cancel</t>
        </is>
      </c>
      <c r="J306" s="9" t="inlineStr"/>
      <c r="K306" s="9" t="inlineStr">
        <is>
          <t>no</t>
        </is>
      </c>
      <c r="L306" s="9" t="inlineStr">
        <is>
          <t>no</t>
        </is>
      </c>
      <c r="M306" s="9" t="inlineStr">
        <is>
          <t>medium</t>
        </is>
      </c>
      <c r="N306" s="9" t="inlineStr">
        <is>
          <t>yes</t>
        </is>
      </c>
      <c r="O306" s="9" t="inlineStr">
        <is>
          <t>unknown</t>
        </is>
      </c>
      <c r="P306" s="9" t="inlineStr"/>
      <c r="Q306" s="9" t="n">
        <v>0</v>
      </c>
      <c r="R306" s="59" t="inlineStr">
        <is>
          <t>They cancel booking last moment even after payment  I tried to get services twice and they disappointed each time horribly</t>
        </is>
      </c>
      <c r="S306" s="9" t="inlineStr">
        <is>
          <t>partner_cancellation</t>
        </is>
      </c>
      <c r="T306" s="9" t="inlineStr">
        <is>
          <t>partner_cancellation</t>
        </is>
      </c>
      <c r="U306" s="59" t="inlineStr"/>
    </row>
    <row r="307">
      <c r="A307" s="9" t="n">
        <v>306</v>
      </c>
      <c r="B307" s="58" t="n">
        <v>46243</v>
      </c>
      <c r="C307" s="9" t="str">
        <f>TEXT(B307,"yyyy-mm")</f>
        <v>2026-08</v>
      </c>
      <c r="D307" s="9" t="n">
        <v>5</v>
      </c>
      <c r="E307" s="9" t="inlineStr">
        <is>
          <t>18.5.0</t>
        </is>
      </c>
      <c r="F307" s="59" t="inlineStr">
        <is>
          <t>[name]</t>
        </is>
      </c>
      <c r="G307" s="59" t="inlineStr">
        <is>
          <t>So good. beyond expectations</t>
        </is>
      </c>
      <c r="H307" s="9" t="inlineStr">
        <is>
          <t>praise</t>
        </is>
      </c>
      <c r="I307" s="9" t="inlineStr">
        <is>
          <t>praise_service</t>
        </is>
      </c>
      <c r="J307" s="9" t="inlineStr"/>
      <c r="K307" s="9" t="inlineStr">
        <is>
          <t>no</t>
        </is>
      </c>
      <c r="L307" s="9" t="inlineStr">
        <is>
          <t>no</t>
        </is>
      </c>
      <c r="M307" s="9" t="inlineStr">
        <is>
          <t>none</t>
        </is>
      </c>
      <c r="N307" s="9" t="inlineStr">
        <is>
          <t>no</t>
        </is>
      </c>
      <c r="O307" s="9" t="inlineStr">
        <is>
          <t>unknown</t>
        </is>
      </c>
      <c r="P307" s="9" t="inlineStr"/>
      <c r="Q307" s="9" t="n">
        <v>0</v>
      </c>
      <c r="R307" s="59" t="inlineStr">
        <is>
          <t>So good. beyond expectations</t>
        </is>
      </c>
      <c r="S307" s="9" t="inlineStr">
        <is>
          <t>praise</t>
        </is>
      </c>
      <c r="T307" s="9" t="inlineStr">
        <is>
          <t>praise</t>
        </is>
      </c>
      <c r="U307" s="59" t="inlineStr"/>
    </row>
    <row r="308">
      <c r="A308" s="9" t="n">
        <v>307</v>
      </c>
      <c r="B308" s="58" t="n">
        <v>46243</v>
      </c>
      <c r="C308" s="9" t="str">
        <f>TEXT(B308,"yyyy-mm")</f>
        <v>2026-08</v>
      </c>
      <c r="D308" s="9" t="n">
        <v>1</v>
      </c>
      <c r="E308" s="9" t="inlineStr">
        <is>
          <t>18.5.0</t>
        </is>
      </c>
      <c r="F308" s="59" t="inlineStr">
        <is>
          <t>Unprofessional app</t>
        </is>
      </c>
      <c r="G308" s="59" t="inlineStr">
        <is>
          <t>Do not inform before cancelling. Not managed well at all. Had repeated cancellations casual attitude</t>
        </is>
      </c>
      <c r="H308" s="9" t="inlineStr">
        <is>
          <t>partner_cancellation</t>
        </is>
      </c>
      <c r="I308" s="9" t="inlineStr">
        <is>
          <t>last_minute_cancel</t>
        </is>
      </c>
      <c r="J308" s="9" t="inlineStr"/>
      <c r="K308" s="9" t="inlineStr">
        <is>
          <t>no</t>
        </is>
      </c>
      <c r="L308" s="9" t="inlineStr">
        <is>
          <t>no</t>
        </is>
      </c>
      <c r="M308" s="9" t="inlineStr">
        <is>
          <t>medium</t>
        </is>
      </c>
      <c r="N308" s="9" t="inlineStr">
        <is>
          <t>no</t>
        </is>
      </c>
      <c r="O308" s="9" t="inlineStr">
        <is>
          <t>unknown</t>
        </is>
      </c>
      <c r="P308" s="9" t="inlineStr"/>
      <c r="Q308" s="9" t="n">
        <v>0</v>
      </c>
      <c r="R308" s="59" t="inlineStr">
        <is>
          <t>Do not inform before cancelling. Not managed well at all. Had repeated cancellations casual attitude</t>
        </is>
      </c>
      <c r="S308" s="9" t="inlineStr">
        <is>
          <t>partner_cancellation</t>
        </is>
      </c>
      <c r="T308" s="9" t="inlineStr">
        <is>
          <t>partner_cancellation</t>
        </is>
      </c>
      <c r="U308" s="59" t="inlineStr"/>
    </row>
    <row r="309">
      <c r="A309" s="9" t="n">
        <v>308</v>
      </c>
      <c r="B309" s="58" t="n">
        <v>46243</v>
      </c>
      <c r="C309" s="9" t="str">
        <f>TEXT(B309,"yyyy-mm")</f>
        <v>2026-08</v>
      </c>
      <c r="D309" s="9" t="n">
        <v>5</v>
      </c>
      <c r="E309" s="9" t="inlineStr">
        <is>
          <t>18.5.0</t>
        </is>
      </c>
      <c r="F309" s="59" t="inlineStr">
        <is>
          <t>Hydra facial</t>
        </is>
      </c>
      <c r="G309" s="59" t="inlineStr">
        <is>
          <t>Awesome service provided by [name], she is extremely knowledgeable and professional she explains everything about the procedure and what are the benefits of it. She is very polite and friendly.</t>
        </is>
      </c>
      <c r="H309" s="9" t="inlineStr">
        <is>
          <t>praise</t>
        </is>
      </c>
      <c r="I309" s="9" t="inlineStr">
        <is>
          <t>praise_professional</t>
        </is>
      </c>
      <c r="J309" s="9" t="inlineStr"/>
      <c r="K309" s="9" t="inlineStr">
        <is>
          <t>no</t>
        </is>
      </c>
      <c r="L309" s="9" t="inlineStr">
        <is>
          <t>no</t>
        </is>
      </c>
      <c r="M309" s="9" t="inlineStr">
        <is>
          <t>none</t>
        </is>
      </c>
      <c r="N309" s="9" t="inlineStr">
        <is>
          <t>no</t>
        </is>
      </c>
      <c r="O309" s="9" t="inlineStr">
        <is>
          <t>facial_cleanup</t>
        </is>
      </c>
      <c r="P309" s="9" t="inlineStr"/>
      <c r="Q309" s="9" t="n">
        <v>0</v>
      </c>
      <c r="R309" s="59" t="inlineStr">
        <is>
          <t>Awesome service provided by [name], she is extremely knowledgeable and professional she explains everything about the procedure</t>
        </is>
      </c>
      <c r="S309" s="9" t="inlineStr">
        <is>
          <t>praise</t>
        </is>
      </c>
      <c r="T309" s="9" t="inlineStr">
        <is>
          <t>praise</t>
        </is>
      </c>
      <c r="U309" s="59" t="inlineStr"/>
    </row>
    <row r="310">
      <c r="A310" s="9" t="n">
        <v>309</v>
      </c>
      <c r="B310" s="58" t="n">
        <v>46243</v>
      </c>
      <c r="C310" s="9" t="str">
        <f>TEXT(B310,"yyyy-mm")</f>
        <v>2026-08</v>
      </c>
      <c r="D310" s="9" t="n">
        <v>5</v>
      </c>
      <c r="E310" s="9" t="inlineStr">
        <is>
          <t>18.5.0</t>
        </is>
      </c>
      <c r="F310" s="59" t="inlineStr">
        <is>
          <t>Therapy</t>
        </is>
      </c>
      <c r="G310" s="59" t="inlineStr">
        <is>
          <t>Good service</t>
        </is>
      </c>
      <c r="H310" s="9" t="inlineStr">
        <is>
          <t>praise</t>
        </is>
      </c>
      <c r="I310" s="9" t="inlineStr">
        <is>
          <t>praise_service</t>
        </is>
      </c>
      <c r="J310" s="9" t="inlineStr"/>
      <c r="K310" s="9" t="inlineStr">
        <is>
          <t>no</t>
        </is>
      </c>
      <c r="L310" s="9" t="inlineStr">
        <is>
          <t>no</t>
        </is>
      </c>
      <c r="M310" s="9" t="inlineStr">
        <is>
          <t>none</t>
        </is>
      </c>
      <c r="N310" s="9" t="inlineStr">
        <is>
          <t>no</t>
        </is>
      </c>
      <c r="O310" s="9" t="inlineStr">
        <is>
          <t>massage_spa</t>
        </is>
      </c>
      <c r="P310" s="9" t="inlineStr"/>
      <c r="Q310" s="9" t="n">
        <v>0</v>
      </c>
      <c r="R310" s="59" t="inlineStr">
        <is>
          <t>Good service</t>
        </is>
      </c>
      <c r="S310" s="9" t="inlineStr">
        <is>
          <t>praise</t>
        </is>
      </c>
      <c r="T310" s="9" t="inlineStr">
        <is>
          <t>praise</t>
        </is>
      </c>
      <c r="U310" s="59" t="inlineStr"/>
    </row>
    <row r="311">
      <c r="A311" s="9" t="n">
        <v>310</v>
      </c>
      <c r="B311" s="58" t="n">
        <v>46242</v>
      </c>
      <c r="C311" s="9" t="str">
        <f>TEXT(B311,"yyyy-mm")</f>
        <v>2026-08</v>
      </c>
      <c r="D311" s="9" t="n">
        <v>1</v>
      </c>
      <c r="E311" s="9" t="inlineStr">
        <is>
          <t>18.5.0</t>
        </is>
      </c>
      <c r="F311" s="59" t="inlineStr">
        <is>
          <t>Very bad service</t>
        </is>
      </c>
      <c r="G311" s="59" t="inlineStr">
        <is>
          <t>I am extremely disappointed with the service I received and would like to request a full refund for the hair colouring service.
The beautician arrived 15–20 minutes late. More importantly, there were serious hygiene and service-quality issues:
* She did not wash or sanitise her hands before starting the service. When I asked her to wash her hands, she said, “Abhi toh ghar se directly aai hu.”
* I was charged for the mandatory hygiene kit, but she did not open or use it initially. Only after I specifically asked her did she take it out, and she only placed the sheet on the bed.
* For a hair-colouring service, she did not bring basic required equipment such as gloves, a comb, or clips for sectioning the hair. She only had a bowl.
* I provided the hair colour, but she did not mix it properly. I had to specifically ask her to mix it properly.
* I also had to instruct her to properly partition/section my hair before applying the colour, which she did not do.
* As a result of the improper application, a significant portion of my hair is still grey, meaning the service was not completed satisfactorily.
I should not have to supervise or instruct a professional beautician on basic hygiene, preparation, hair sectioning, and proper colour application, especially when I am paying for a professional service and a mandatory hygiene kit is being charged separately.
I am therefore requesting a full refund for this service.</t>
        </is>
      </c>
      <c r="H311" s="9" t="inlineStr">
        <is>
          <t>service_quality</t>
        </is>
      </c>
      <c r="I311" s="9" t="inlineStr">
        <is>
          <t>poor_skill</t>
        </is>
      </c>
      <c r="J311" s="9" t="inlineStr">
        <is>
          <t>delay, product_fit</t>
        </is>
      </c>
      <c r="K311" s="9" t="inlineStr">
        <is>
          <t>no</t>
        </is>
      </c>
      <c r="L311" s="9" t="inlineStr">
        <is>
          <t>no</t>
        </is>
      </c>
      <c r="M311" s="9" t="inlineStr">
        <is>
          <t>medium</t>
        </is>
      </c>
      <c r="N311" s="9" t="inlineStr">
        <is>
          <t>no</t>
        </is>
      </c>
      <c r="O311" s="9" t="inlineStr">
        <is>
          <t>hair</t>
        </is>
      </c>
      <c r="P311" s="9" t="inlineStr"/>
      <c r="Q311" s="9" t="n">
        <v>0</v>
      </c>
      <c r="R311" s="59" t="inlineStr">
        <is>
          <t>As a result of the improper application, a significant portion of my hair is still grey, meaning the service was not completed satisfactorily.</t>
        </is>
      </c>
      <c r="S311" s="9" t="inlineStr">
        <is>
          <t>service_quality</t>
        </is>
      </c>
      <c r="T311" s="9" t="inlineStr">
        <is>
          <t>service_quality</t>
        </is>
      </c>
      <c r="U311" s="59" t="inlineStr"/>
    </row>
    <row r="312">
      <c r="A312" s="9" t="n">
        <v>311</v>
      </c>
      <c r="B312" s="58" t="n">
        <v>46242</v>
      </c>
      <c r="C312" s="9" t="str">
        <f>TEXT(B312,"yyyy-mm")</f>
        <v>2026-08</v>
      </c>
      <c r="D312" s="9" t="n">
        <v>3</v>
      </c>
      <c r="E312" s="9" t="inlineStr">
        <is>
          <t>18.5.0</t>
        </is>
      </c>
      <c r="F312" s="59" t="inlineStr">
        <is>
          <t>Booking and customer service</t>
        </is>
      </c>
      <c r="G312" s="59" t="inlineStr">
        <is>
          <t>Bookings should be confirmed prior. I could not connect to customer service when expert did not arrive. My whole day schedule was disturbed because of this.</t>
        </is>
      </c>
      <c r="H312" s="9" t="inlineStr">
        <is>
          <t>partner_cancellation</t>
        </is>
      </c>
      <c r="I312" s="9" t="inlineStr">
        <is>
          <t>no_show</t>
        </is>
      </c>
      <c r="J312" s="9" t="inlineStr">
        <is>
          <t>support</t>
        </is>
      </c>
      <c r="K312" s="9" t="inlineStr">
        <is>
          <t>yes</t>
        </is>
      </c>
      <c r="L312" s="9" t="inlineStr">
        <is>
          <t>yes</t>
        </is>
      </c>
      <c r="M312" s="9" t="inlineStr">
        <is>
          <t>medium</t>
        </is>
      </c>
      <c r="N312" s="9" t="inlineStr">
        <is>
          <t>no</t>
        </is>
      </c>
      <c r="O312" s="9" t="inlineStr">
        <is>
          <t>unknown</t>
        </is>
      </c>
      <c r="P312" s="9" t="inlineStr"/>
      <c r="Q312" s="9" t="n">
        <v>0</v>
      </c>
      <c r="R312" s="59" t="inlineStr">
        <is>
          <t>I could not connect to customer service when expert did not arrive. My whole day schedule was disturbed because of this.</t>
        </is>
      </c>
      <c r="S312" s="9" t="inlineStr">
        <is>
          <t>partner_cancellation</t>
        </is>
      </c>
      <c r="T312" s="9" t="inlineStr">
        <is>
          <t>partner_cancellation</t>
        </is>
      </c>
      <c r="U312" s="59" t="inlineStr"/>
    </row>
    <row r="313">
      <c r="A313" s="9" t="n">
        <v>312</v>
      </c>
      <c r="B313" s="58" t="n">
        <v>46242</v>
      </c>
      <c r="C313" s="9" t="str">
        <f>TEXT(B313,"yyyy-mm")</f>
        <v>2026-08</v>
      </c>
      <c r="D313" s="9" t="n">
        <v>5</v>
      </c>
      <c r="E313" s="9" t="inlineStr">
        <is>
          <t>18.5.0</t>
        </is>
      </c>
      <c r="F313" s="59" t="inlineStr">
        <is>
          <t>Hygiene and products</t>
        </is>
      </c>
      <c r="G313" s="59" t="inlineStr">
        <is>
          <t>Loved the service, products and hygiene maintained. Expert was friendly and did her service good. Overall happy with YesMadam</t>
        </is>
      </c>
      <c r="H313" s="9" t="inlineStr">
        <is>
          <t>praise</t>
        </is>
      </c>
      <c r="I313" s="9" t="inlineStr">
        <is>
          <t>praise_service</t>
        </is>
      </c>
      <c r="J313" s="9" t="inlineStr"/>
      <c r="K313" s="9" t="inlineStr">
        <is>
          <t>no</t>
        </is>
      </c>
      <c r="L313" s="9" t="inlineStr">
        <is>
          <t>no</t>
        </is>
      </c>
      <c r="M313" s="9" t="inlineStr">
        <is>
          <t>none</t>
        </is>
      </c>
      <c r="N313" s="9" t="inlineStr">
        <is>
          <t>no</t>
        </is>
      </c>
      <c r="O313" s="9" t="inlineStr">
        <is>
          <t>unknown</t>
        </is>
      </c>
      <c r="P313" s="9" t="inlineStr"/>
      <c r="Q313" s="9" t="n">
        <v>0</v>
      </c>
      <c r="R313" s="59" t="inlineStr">
        <is>
          <t>Loved the service, products and hygiene maintained. Expert was friendly and did her service good.</t>
        </is>
      </c>
      <c r="S313" s="9" t="inlineStr">
        <is>
          <t>praise</t>
        </is>
      </c>
      <c r="T313" s="9" t="inlineStr">
        <is>
          <t>praise</t>
        </is>
      </c>
      <c r="U313" s="59" t="inlineStr"/>
    </row>
    <row r="314">
      <c r="A314" s="9" t="n">
        <v>313</v>
      </c>
      <c r="B314" s="58" t="n">
        <v>46242</v>
      </c>
      <c r="C314" s="9" t="str">
        <f>TEXT(B314,"yyyy-mm")</f>
        <v>2026-08</v>
      </c>
      <c r="D314" s="9" t="n">
        <v>5</v>
      </c>
      <c r="E314" s="9" t="inlineStr">
        <is>
          <t>18.5.0</t>
        </is>
      </c>
      <c r="F314" s="59" t="inlineStr">
        <is>
          <t>Worth it</t>
        </is>
      </c>
      <c r="G314" s="59" t="inlineStr">
        <is>
          <t>The lady ([name]) was very good.</t>
        </is>
      </c>
      <c r="H314" s="9" t="inlineStr">
        <is>
          <t>praise</t>
        </is>
      </c>
      <c r="I314" s="9" t="inlineStr">
        <is>
          <t>praise_professional</t>
        </is>
      </c>
      <c r="J314" s="9" t="inlineStr"/>
      <c r="K314" s="9" t="inlineStr">
        <is>
          <t>no</t>
        </is>
      </c>
      <c r="L314" s="9" t="inlineStr">
        <is>
          <t>no</t>
        </is>
      </c>
      <c r="M314" s="9" t="inlineStr">
        <is>
          <t>none</t>
        </is>
      </c>
      <c r="N314" s="9" t="inlineStr">
        <is>
          <t>no</t>
        </is>
      </c>
      <c r="O314" s="9" t="inlineStr">
        <is>
          <t>unknown</t>
        </is>
      </c>
      <c r="P314" s="9" t="inlineStr"/>
      <c r="Q314" s="9" t="n">
        <v>0</v>
      </c>
      <c r="R314" s="59" t="inlineStr">
        <is>
          <t>The lady ([name]) was very good.</t>
        </is>
      </c>
      <c r="S314" s="9" t="inlineStr">
        <is>
          <t>praise</t>
        </is>
      </c>
      <c r="T314" s="9" t="inlineStr">
        <is>
          <t>praise</t>
        </is>
      </c>
      <c r="U314" s="59" t="inlineStr"/>
    </row>
    <row r="315">
      <c r="A315" s="9" t="n">
        <v>314</v>
      </c>
      <c r="B315" s="58" t="n">
        <v>46242</v>
      </c>
      <c r="C315" s="9" t="str">
        <f>TEXT(B315,"yyyy-mm")</f>
        <v>2026-08</v>
      </c>
      <c r="D315" s="9" t="n">
        <v>1</v>
      </c>
      <c r="E315" s="9" t="inlineStr">
        <is>
          <t>18.5.0</t>
        </is>
      </c>
      <c r="F315" s="59" t="inlineStr">
        <is>
          <t>Worst</t>
        </is>
      </c>
      <c r="G315" s="59" t="inlineStr">
        <is>
          <t>Is there was minus I would give minus worst service ever</t>
        </is>
      </c>
      <c r="H315" s="9" t="inlineStr">
        <is>
          <t>other</t>
        </is>
      </c>
      <c r="I315" s="9" t="inlineStr">
        <is>
          <t>unclear</t>
        </is>
      </c>
      <c r="J315" s="9" t="inlineStr"/>
      <c r="K315" s="9" t="inlineStr">
        <is>
          <t>no</t>
        </is>
      </c>
      <c r="L315" s="9" t="inlineStr">
        <is>
          <t>no</t>
        </is>
      </c>
      <c r="M315" s="9" t="inlineStr">
        <is>
          <t>low</t>
        </is>
      </c>
      <c r="N315" s="9" t="inlineStr">
        <is>
          <t>no</t>
        </is>
      </c>
      <c r="O315" s="9" t="inlineStr">
        <is>
          <t>unknown</t>
        </is>
      </c>
      <c r="P315" s="9" t="inlineStr"/>
      <c r="Q315" s="9" t="n">
        <v>0</v>
      </c>
      <c r="R315" s="59" t="inlineStr">
        <is>
          <t>Is there was minus I would give minus worst service ever</t>
        </is>
      </c>
      <c r="S315" s="9" t="inlineStr">
        <is>
          <t>other</t>
        </is>
      </c>
      <c r="T315" s="9" t="inlineStr">
        <is>
          <t>other</t>
        </is>
      </c>
      <c r="U315" s="59" t="inlineStr"/>
    </row>
    <row r="316">
      <c r="A316" s="9" t="n">
        <v>315</v>
      </c>
      <c r="B316" s="58" t="n">
        <v>46242</v>
      </c>
      <c r="C316" s="9" t="str">
        <f>TEXT(B316,"yyyy-mm")</f>
        <v>2026-08</v>
      </c>
      <c r="D316" s="9" t="n">
        <v>5</v>
      </c>
      <c r="E316" s="9" t="inlineStr">
        <is>
          <t>18.5.0</t>
        </is>
      </c>
      <c r="F316" s="59" t="inlineStr">
        <is>
          <t>Hydra clean up</t>
        </is>
      </c>
      <c r="G316" s="59" t="inlineStr">
        <is>
          <t>[name] felt very relax and she was very very sweet as a gesture and amazing service ❤️❤️❤️❤️❤️</t>
        </is>
      </c>
      <c r="H316" s="9" t="inlineStr">
        <is>
          <t>praise</t>
        </is>
      </c>
      <c r="I316" s="9" t="inlineStr">
        <is>
          <t>praise_professional</t>
        </is>
      </c>
      <c r="J316" s="9" t="inlineStr"/>
      <c r="K316" s="9" t="inlineStr">
        <is>
          <t>no</t>
        </is>
      </c>
      <c r="L316" s="9" t="inlineStr">
        <is>
          <t>no</t>
        </is>
      </c>
      <c r="M316" s="9" t="inlineStr">
        <is>
          <t>none</t>
        </is>
      </c>
      <c r="N316" s="9" t="inlineStr">
        <is>
          <t>no</t>
        </is>
      </c>
      <c r="O316" s="9" t="inlineStr">
        <is>
          <t>facial_cleanup</t>
        </is>
      </c>
      <c r="P316" s="9" t="inlineStr"/>
      <c r="Q316" s="9" t="n">
        <v>0</v>
      </c>
      <c r="R316" s="59" t="inlineStr">
        <is>
          <t>[name] felt very relax and she was very very sweet as a gesture and amazing service</t>
        </is>
      </c>
      <c r="S316" s="9" t="inlineStr">
        <is>
          <t>praise</t>
        </is>
      </c>
      <c r="T316" s="9" t="inlineStr">
        <is>
          <t>praise</t>
        </is>
      </c>
      <c r="U316" s="59" t="inlineStr"/>
    </row>
    <row r="317">
      <c r="A317" s="9" t="n">
        <v>316</v>
      </c>
      <c r="B317" s="58" t="n">
        <v>46242</v>
      </c>
      <c r="C317" s="9" t="str">
        <f>TEXT(B317,"yyyy-mm")</f>
        <v>2026-08</v>
      </c>
      <c r="D317" s="9" t="n">
        <v>5</v>
      </c>
      <c r="E317" s="9" t="inlineStr">
        <is>
          <t>18.5.0</t>
        </is>
      </c>
      <c r="F317" s="59" t="inlineStr">
        <is>
          <t>Very good app. Convenient and professional</t>
        </is>
      </c>
      <c r="G317" s="59" t="inlineStr">
        <is>
          <t>Good service, budget prices.</t>
        </is>
      </c>
      <c r="H317" s="9" t="inlineStr">
        <is>
          <t>praise</t>
        </is>
      </c>
      <c r="I317" s="9" t="inlineStr">
        <is>
          <t>praise_value</t>
        </is>
      </c>
      <c r="J317" s="9" t="inlineStr"/>
      <c r="K317" s="9" t="inlineStr">
        <is>
          <t>no</t>
        </is>
      </c>
      <c r="L317" s="9" t="inlineStr">
        <is>
          <t>no</t>
        </is>
      </c>
      <c r="M317" s="9" t="inlineStr">
        <is>
          <t>none</t>
        </is>
      </c>
      <c r="N317" s="9" t="inlineStr">
        <is>
          <t>no</t>
        </is>
      </c>
      <c r="O317" s="9" t="inlineStr">
        <is>
          <t>unknown</t>
        </is>
      </c>
      <c r="P317" s="9" t="inlineStr"/>
      <c r="Q317" s="9" t="n">
        <v>0</v>
      </c>
      <c r="R317" s="59" t="inlineStr">
        <is>
          <t>Good service, budget prices.</t>
        </is>
      </c>
      <c r="S317" s="9" t="inlineStr">
        <is>
          <t>praise</t>
        </is>
      </c>
      <c r="T317" s="9" t="inlineStr">
        <is>
          <t>praise</t>
        </is>
      </c>
      <c r="U317" s="59" t="inlineStr"/>
    </row>
    <row r="318">
      <c r="A318" s="9" t="n">
        <v>317</v>
      </c>
      <c r="B318" s="58" t="n">
        <v>46242</v>
      </c>
      <c r="C318" s="9" t="str">
        <f>TEXT(B318,"yyyy-mm")</f>
        <v>2026-08</v>
      </c>
      <c r="D318" s="9" t="n">
        <v>1</v>
      </c>
      <c r="E318" s="9" t="inlineStr">
        <is>
          <t>18.5.0</t>
        </is>
      </c>
      <c r="F318" s="59" t="inlineStr">
        <is>
          <t>Worst</t>
        </is>
      </c>
      <c r="G318" s="59" t="inlineStr">
        <is>
          <t>Worst services plz guys alz book urban clap</t>
        </is>
      </c>
      <c r="H318" s="9" t="inlineStr">
        <is>
          <t>other</t>
        </is>
      </c>
      <c r="I318" s="9" t="inlineStr">
        <is>
          <t>unclear</t>
        </is>
      </c>
      <c r="J318" s="9" t="inlineStr"/>
      <c r="K318" s="9" t="inlineStr">
        <is>
          <t>no</t>
        </is>
      </c>
      <c r="L318" s="9" t="inlineStr">
        <is>
          <t>no</t>
        </is>
      </c>
      <c r="M318" s="9" t="inlineStr">
        <is>
          <t>low</t>
        </is>
      </c>
      <c r="N318" s="9" t="inlineStr">
        <is>
          <t>yes</t>
        </is>
      </c>
      <c r="O318" s="9" t="inlineStr">
        <is>
          <t>unknown</t>
        </is>
      </c>
      <c r="P318" s="9" t="inlineStr"/>
      <c r="Q318" s="9" t="n">
        <v>0</v>
      </c>
      <c r="R318" s="59" t="inlineStr">
        <is>
          <t>Worst services plz guys alz book urban clap</t>
        </is>
      </c>
      <c r="S318" s="9" t="inlineStr">
        <is>
          <t>other</t>
        </is>
      </c>
      <c r="T318" s="9" t="inlineStr">
        <is>
          <t>other</t>
        </is>
      </c>
      <c r="U318" s="59" t="inlineStr"/>
    </row>
    <row r="319">
      <c r="A319" s="9" t="n">
        <v>318</v>
      </c>
      <c r="B319" s="58" t="n">
        <v>46241</v>
      </c>
      <c r="C319" s="9" t="str">
        <f>TEXT(B319,"yyyy-mm")</f>
        <v>2026-08</v>
      </c>
      <c r="D319" s="9" t="n">
        <v>5</v>
      </c>
      <c r="E319" s="9" t="inlineStr">
        <is>
          <t>18.5.0</t>
        </is>
      </c>
      <c r="F319" s="59" t="inlineStr">
        <is>
          <t>Too good</t>
        </is>
      </c>
      <c r="G319" s="59" t="inlineStr">
        <is>
          <t>It was really good experience by yes Madam was easy and convinent for me as I was getting late for going to salons do yes madam was the best solution 😍</t>
        </is>
      </c>
      <c r="H319" s="9" t="inlineStr">
        <is>
          <t>praise</t>
        </is>
      </c>
      <c r="I319" s="9" t="inlineStr">
        <is>
          <t>praise_service</t>
        </is>
      </c>
      <c r="J319" s="9" t="inlineStr"/>
      <c r="K319" s="9" t="inlineStr">
        <is>
          <t>no</t>
        </is>
      </c>
      <c r="L319" s="9" t="inlineStr">
        <is>
          <t>no</t>
        </is>
      </c>
      <c r="M319" s="9" t="inlineStr">
        <is>
          <t>none</t>
        </is>
      </c>
      <c r="N319" s="9" t="inlineStr">
        <is>
          <t>no</t>
        </is>
      </c>
      <c r="O319" s="9" t="inlineStr">
        <is>
          <t>unknown</t>
        </is>
      </c>
      <c r="P319" s="9" t="inlineStr"/>
      <c r="Q319" s="9" t="n">
        <v>0</v>
      </c>
      <c r="R319" s="59" t="inlineStr">
        <is>
          <t>It was really good experience by yes Madam was easy and convinent for me</t>
        </is>
      </c>
      <c r="S319" s="9" t="inlineStr">
        <is>
          <t>praise</t>
        </is>
      </c>
      <c r="T319" s="9" t="inlineStr">
        <is>
          <t>praise</t>
        </is>
      </c>
      <c r="U319" s="59" t="inlineStr"/>
    </row>
    <row r="320">
      <c r="A320" s="9" t="n">
        <v>319</v>
      </c>
      <c r="B320" s="58" t="n">
        <v>46241</v>
      </c>
      <c r="C320" s="9" t="str">
        <f>TEXT(B320,"yyyy-mm")</f>
        <v>2026-08</v>
      </c>
      <c r="D320" s="9" t="n">
        <v>1</v>
      </c>
      <c r="E320" s="9" t="inlineStr">
        <is>
          <t>18.5.0</t>
        </is>
      </c>
      <c r="F320" s="59" t="inlineStr">
        <is>
          <t>Worst Possible Service- No accountability</t>
        </is>
      </c>
      <c r="G320" s="59" t="inlineStr">
        <is>
          <t>I booked a salon service today through the YesMadam app. Initially, the person assigned to my booking called me, confirmed the service, and then informed me that they would not be able to provide it. When I asked for a refund, instead of processing it, I was asked to reschedule the service, which I agreed to.
A second person was then assigned to me. Her name was [name]. She called me multiple times throughout the day, repeatedly confirming that she would come and provide the service at the scheduled time. However, when the actual appointment time arrived, she switched off her phone and became completely unreachable.
When I finally managed to contact her number, her husband answered and informed me that she was unwell and therefore unavailable.
I understand that emergencies and genuine health issues can happen. But what is completely unacceptable is the lack of communication, professionalism, and accountability. After confirming the appointment repeatedly and keeping me waiting throughout the day, there was no proper communication when she could not make it.
This was an extremely frustrating experience and a complete waste of my time.
YesMadam is possibly one of the worst apps I have used for booking salon/beauty services. I would strongly recommend thinking twice before booking through this platform. If you value your time and expect basic professionalism and accountability, I would suggest looking elsewhere.</t>
        </is>
      </c>
      <c r="H320" s="9" t="inlineStr">
        <is>
          <t>partner_cancellation</t>
        </is>
      </c>
      <c r="I320" s="9" t="inlineStr">
        <is>
          <t>no_show</t>
        </is>
      </c>
      <c r="J320" s="9" t="inlineStr">
        <is>
          <t>payment_refund</t>
        </is>
      </c>
      <c r="K320" s="9" t="inlineStr">
        <is>
          <t>yes</t>
        </is>
      </c>
      <c r="L320" s="9" t="inlineStr">
        <is>
          <t>no</t>
        </is>
      </c>
      <c r="M320" s="9" t="inlineStr">
        <is>
          <t>medium</t>
        </is>
      </c>
      <c r="N320" s="9" t="inlineStr">
        <is>
          <t>no</t>
        </is>
      </c>
      <c r="O320" s="9" t="inlineStr">
        <is>
          <t>unknown</t>
        </is>
      </c>
      <c r="P320" s="9" t="inlineStr"/>
      <c r="Q320" s="9" t="n">
        <v>0</v>
      </c>
      <c r="R320" s="59" t="inlineStr">
        <is>
          <t>when the actual appointment time arrived, she switched off her phone and became completely unreachable.</t>
        </is>
      </c>
      <c r="S320" s="9" t="inlineStr">
        <is>
          <t>partner_cancellation</t>
        </is>
      </c>
      <c r="T320" s="9" t="inlineStr">
        <is>
          <t>partner_cancellation</t>
        </is>
      </c>
      <c r="U320" s="59" t="inlineStr"/>
    </row>
    <row r="321">
      <c r="A321" s="9" t="n">
        <v>320</v>
      </c>
      <c r="B321" s="58" t="n">
        <v>46241</v>
      </c>
      <c r="C321" s="9" t="str">
        <f>TEXT(B321,"yyyy-mm")</f>
        <v>2026-08</v>
      </c>
      <c r="D321" s="9" t="n">
        <v>1</v>
      </c>
      <c r="E321" s="9" t="inlineStr">
        <is>
          <t>18.5.0</t>
        </is>
      </c>
      <c r="F321" s="59" t="inlineStr">
        <is>
          <t>Not punctual</t>
        </is>
      </c>
      <c r="G321" s="59" t="inlineStr">
        <is>
          <t>Every time they are rescheduling the appointment different date and not even punctual even after rescheduling, pathetic service this happened me for twice and interestingly i have booked only twice with them</t>
        </is>
      </c>
      <c r="H321" s="9" t="inlineStr">
        <is>
          <t>partner_cancellation</t>
        </is>
      </c>
      <c r="I321" s="9" t="inlineStr">
        <is>
          <t>repeated_reschedule</t>
        </is>
      </c>
      <c r="J321" s="9" t="inlineStr">
        <is>
          <t>delay</t>
        </is>
      </c>
      <c r="K321" s="9" t="inlineStr">
        <is>
          <t>no</t>
        </is>
      </c>
      <c r="L321" s="9" t="inlineStr">
        <is>
          <t>no</t>
        </is>
      </c>
      <c r="M321" s="9" t="inlineStr">
        <is>
          <t>medium</t>
        </is>
      </c>
      <c r="N321" s="9" t="inlineStr">
        <is>
          <t>no</t>
        </is>
      </c>
      <c r="O321" s="9" t="inlineStr">
        <is>
          <t>unknown</t>
        </is>
      </c>
      <c r="P321" s="9" t="inlineStr"/>
      <c r="Q321" s="9" t="n">
        <v>0</v>
      </c>
      <c r="R321" s="59" t="inlineStr">
        <is>
          <t>Every time they are rescheduling the appointment different date and not even punctual even after rescheduling, pathetic service</t>
        </is>
      </c>
      <c r="S321" s="9" t="inlineStr">
        <is>
          <t>partner_cancellation</t>
        </is>
      </c>
      <c r="T321" s="9" t="inlineStr">
        <is>
          <t>partner_cancellation</t>
        </is>
      </c>
      <c r="U321" s="59" t="inlineStr"/>
    </row>
    <row r="322">
      <c r="A322" s="9" t="n">
        <v>321</v>
      </c>
      <c r="B322" s="58" t="n">
        <v>46241</v>
      </c>
      <c r="C322" s="9" t="str">
        <f>TEXT(B322,"yyyy-mm")</f>
        <v>2026-08</v>
      </c>
      <c r="D322" s="9" t="n">
        <v>5</v>
      </c>
      <c r="E322" s="9" t="inlineStr">
        <is>
          <t>18.5.0</t>
        </is>
      </c>
      <c r="F322" s="59" t="inlineStr">
        <is>
          <t>Hydra glow facial</t>
        </is>
      </c>
      <c r="G322" s="59" t="inlineStr">
        <is>
          <t>[name] is very good in her service loved the result</t>
        </is>
      </c>
      <c r="H322" s="9" t="inlineStr">
        <is>
          <t>praise</t>
        </is>
      </c>
      <c r="I322" s="9" t="inlineStr">
        <is>
          <t>praise_professional</t>
        </is>
      </c>
      <c r="J322" s="9" t="inlineStr"/>
      <c r="K322" s="9" t="inlineStr">
        <is>
          <t>no</t>
        </is>
      </c>
      <c r="L322" s="9" t="inlineStr">
        <is>
          <t>no</t>
        </is>
      </c>
      <c r="M322" s="9" t="inlineStr">
        <is>
          <t>none</t>
        </is>
      </c>
      <c r="N322" s="9" t="inlineStr">
        <is>
          <t>no</t>
        </is>
      </c>
      <c r="O322" s="9" t="inlineStr">
        <is>
          <t>facial_cleanup</t>
        </is>
      </c>
      <c r="P322" s="9" t="inlineStr"/>
      <c r="Q322" s="9" t="n">
        <v>0</v>
      </c>
      <c r="R322" s="59" t="inlineStr">
        <is>
          <t>[name] is very good in her service loved the result</t>
        </is>
      </c>
      <c r="S322" s="9" t="inlineStr">
        <is>
          <t>praise</t>
        </is>
      </c>
      <c r="T322" s="9" t="inlineStr">
        <is>
          <t>praise</t>
        </is>
      </c>
      <c r="U322" s="59" t="inlineStr"/>
    </row>
    <row r="323">
      <c r="A323" s="9" t="n">
        <v>322</v>
      </c>
      <c r="B323" s="58" t="n">
        <v>46240</v>
      </c>
      <c r="C323" s="9" t="str">
        <f>TEXT(B323,"yyyy-mm")</f>
        <v>2026-08</v>
      </c>
      <c r="D323" s="9" t="n">
        <v>2</v>
      </c>
      <c r="E323" s="9" t="inlineStr">
        <is>
          <t>18.5.0</t>
        </is>
      </c>
      <c r="F323" s="59" t="inlineStr">
        <is>
          <t>Ok service not great</t>
        </is>
      </c>
      <c r="G323" s="59" t="inlineStr">
        <is>
          <t>Professionals are rude and keep arguing.</t>
        </is>
      </c>
      <c r="H323" s="9" t="inlineStr">
        <is>
          <t>service_quality</t>
        </is>
      </c>
      <c r="I323" s="9" t="inlineStr">
        <is>
          <t>rude_behaviour</t>
        </is>
      </c>
      <c r="J323" s="9" t="inlineStr"/>
      <c r="K323" s="9" t="inlineStr">
        <is>
          <t>no</t>
        </is>
      </c>
      <c r="L323" s="9" t="inlineStr">
        <is>
          <t>no</t>
        </is>
      </c>
      <c r="M323" s="9" t="inlineStr">
        <is>
          <t>medium</t>
        </is>
      </c>
      <c r="N323" s="9" t="inlineStr">
        <is>
          <t>no</t>
        </is>
      </c>
      <c r="O323" s="9" t="inlineStr">
        <is>
          <t>unknown</t>
        </is>
      </c>
      <c r="P323" s="9" t="inlineStr"/>
      <c r="Q323" s="9" t="n">
        <v>0</v>
      </c>
      <c r="R323" s="59" t="inlineStr">
        <is>
          <t>Professionals are rude and keep arguing.</t>
        </is>
      </c>
      <c r="S323" s="9" t="inlineStr">
        <is>
          <t>service_quality</t>
        </is>
      </c>
      <c r="T323" s="9" t="inlineStr">
        <is>
          <t>service_quality</t>
        </is>
      </c>
      <c r="U323" s="59" t="inlineStr"/>
    </row>
    <row r="324">
      <c r="A324" s="9" t="n">
        <v>323</v>
      </c>
      <c r="B324" s="58" t="n">
        <v>46240</v>
      </c>
      <c r="C324" s="9" t="str">
        <f>TEXT(B324,"yyyy-mm")</f>
        <v>2026-08</v>
      </c>
      <c r="D324" s="9" t="n">
        <v>1</v>
      </c>
      <c r="E324" s="9" t="inlineStr">
        <is>
          <t>18.5.0</t>
        </is>
      </c>
      <c r="F324" s="59" t="inlineStr">
        <is>
          <t>Pathetic behaviour of lady manager or owner who is handling .</t>
        </is>
      </c>
      <c r="G324" s="59" t="inlineStr">
        <is>
          <t>They tried to fraud . Initially the owner told for some other amount for service and then when the service was done she asked me to pay more , giving nonsense reasons , which were not at all acceptable and then told me that she will not take my booking . I didnt like their behaviour</t>
        </is>
      </c>
      <c r="H324" s="9" t="inlineStr">
        <is>
          <t>price_clarity</t>
        </is>
      </c>
      <c r="I324" s="9" t="inlineStr">
        <is>
          <t>price_mismatch</t>
        </is>
      </c>
      <c r="J324" s="9" t="inlineStr">
        <is>
          <t>service_quality</t>
        </is>
      </c>
      <c r="K324" s="9" t="inlineStr">
        <is>
          <t>no</t>
        </is>
      </c>
      <c r="L324" s="9" t="inlineStr">
        <is>
          <t>no</t>
        </is>
      </c>
      <c r="M324" s="9" t="inlineStr">
        <is>
          <t>medium</t>
        </is>
      </c>
      <c r="N324" s="9" t="inlineStr">
        <is>
          <t>no</t>
        </is>
      </c>
      <c r="O324" s="9" t="inlineStr">
        <is>
          <t>unknown</t>
        </is>
      </c>
      <c r="P324" s="9" t="inlineStr"/>
      <c r="Q324" s="9" t="n">
        <v>0</v>
      </c>
      <c r="R324" s="59" t="inlineStr">
        <is>
          <t>Initially the owner told for some other amount for service and then when the service was done she asked me to pay more</t>
        </is>
      </c>
      <c r="S324" s="9" t="inlineStr">
        <is>
          <t>price_clarity</t>
        </is>
      </c>
      <c r="T324" s="9" t="inlineStr">
        <is>
          <t>price_clarity</t>
        </is>
      </c>
      <c r="U324" s="59" t="inlineStr"/>
    </row>
    <row r="325">
      <c r="A325" s="9" t="n">
        <v>324</v>
      </c>
      <c r="B325" s="58" t="n">
        <v>46240</v>
      </c>
      <c r="C325" s="9" t="str">
        <f>TEXT(B325,"yyyy-mm")</f>
        <v>2026-08</v>
      </c>
      <c r="D325" s="9" t="n">
        <v>5</v>
      </c>
      <c r="E325" s="9" t="inlineStr">
        <is>
          <t>18.5.0</t>
        </is>
      </c>
      <c r="F325" s="59" t="inlineStr">
        <is>
          <t>Nice app</t>
        </is>
      </c>
      <c r="G325" s="59" t="inlineStr">
        <is>
          <t>Nice serives provide by you yes madam make our work easy and to majntajn our bueaty without tension</t>
        </is>
      </c>
      <c r="H325" s="9" t="inlineStr">
        <is>
          <t>praise</t>
        </is>
      </c>
      <c r="I325" s="9" t="inlineStr">
        <is>
          <t>praise_service</t>
        </is>
      </c>
      <c r="J325" s="9" t="inlineStr"/>
      <c r="K325" s="9" t="inlineStr">
        <is>
          <t>no</t>
        </is>
      </c>
      <c r="L325" s="9" t="inlineStr">
        <is>
          <t>no</t>
        </is>
      </c>
      <c r="M325" s="9" t="inlineStr">
        <is>
          <t>none</t>
        </is>
      </c>
      <c r="N325" s="9" t="inlineStr">
        <is>
          <t>no</t>
        </is>
      </c>
      <c r="O325" s="9" t="inlineStr">
        <is>
          <t>unknown</t>
        </is>
      </c>
      <c r="P325" s="9" t="inlineStr"/>
      <c r="Q325" s="9" t="n">
        <v>0</v>
      </c>
      <c r="R325" s="59" t="inlineStr">
        <is>
          <t>Nice serives provide by you yes madam make our work easy and to majntajn our bueaty without tension</t>
        </is>
      </c>
      <c r="S325" s="9" t="inlineStr">
        <is>
          <t>praise</t>
        </is>
      </c>
      <c r="T325" s="9" t="inlineStr">
        <is>
          <t>praise</t>
        </is>
      </c>
      <c r="U325" s="59" t="inlineStr"/>
    </row>
    <row r="326">
      <c r="A326" s="9" t="n">
        <v>325</v>
      </c>
      <c r="B326" s="58" t="n">
        <v>46240</v>
      </c>
      <c r="C326" s="9" t="str">
        <f>TEXT(B326,"yyyy-mm")</f>
        <v>2026-08</v>
      </c>
      <c r="D326" s="9" t="n">
        <v>1</v>
      </c>
      <c r="E326" s="9" t="inlineStr">
        <is>
          <t>18.5.0</t>
        </is>
      </c>
      <c r="F326" s="59" t="inlineStr">
        <is>
          <t>Most pathetic experience ever</t>
        </is>
      </c>
      <c r="G326" s="59" t="inlineStr">
        <is>
          <t>Your service has been absolutely unacceptable. You sent an unprofessional and underqualified technician to my home, wasting my time and causing a horrible experience. Now, no one from your team is even reachable. This is highly irresponsible and completely unacceptable. If this isn’t resolved immediately, I will have no option but to escalate the matter and share my experience publicly.</t>
        </is>
      </c>
      <c r="H326" s="9" t="inlineStr">
        <is>
          <t>service_quality</t>
        </is>
      </c>
      <c r="I326" s="9" t="inlineStr">
        <is>
          <t>poor_skill</t>
        </is>
      </c>
      <c r="J326" s="9" t="inlineStr">
        <is>
          <t>support</t>
        </is>
      </c>
      <c r="K326" s="9" t="inlineStr">
        <is>
          <t>yes</t>
        </is>
      </c>
      <c r="L326" s="9" t="inlineStr">
        <is>
          <t>yes</t>
        </is>
      </c>
      <c r="M326" s="9" t="inlineStr">
        <is>
          <t>medium</t>
        </is>
      </c>
      <c r="N326" s="9" t="inlineStr">
        <is>
          <t>no</t>
        </is>
      </c>
      <c r="O326" s="9" t="inlineStr">
        <is>
          <t>unknown</t>
        </is>
      </c>
      <c r="P326" s="9" t="inlineStr"/>
      <c r="Q326" s="9" t="n">
        <v>0</v>
      </c>
      <c r="R326" s="59" t="inlineStr">
        <is>
          <t>You sent an unprofessional and underqualified technician to my home, wasting my time and causing a horrible experience.</t>
        </is>
      </c>
      <c r="S326" s="9" t="inlineStr">
        <is>
          <t>service_quality</t>
        </is>
      </c>
      <c r="T326" s="9" t="inlineStr">
        <is>
          <t>service_quality</t>
        </is>
      </c>
      <c r="U326" s="59" t="inlineStr"/>
    </row>
    <row r="327">
      <c r="A327" s="9" t="n">
        <v>326</v>
      </c>
      <c r="B327" s="58" t="n">
        <v>46239</v>
      </c>
      <c r="C327" s="9" t="str">
        <f>TEXT(B327,"yyyy-mm")</f>
        <v>2026-08</v>
      </c>
      <c r="D327" s="9" t="n">
        <v>1</v>
      </c>
      <c r="E327" s="9" t="inlineStr">
        <is>
          <t>18.5.0</t>
        </is>
      </c>
      <c r="F327" s="59" t="inlineStr">
        <is>
          <t>The app has very bad features . We can even chat or get assistance if have any query</t>
        </is>
      </c>
      <c r="G327" s="59" t="inlineStr">
        <is>
          <t>My yes madam wallet have rs 400 + but i can invest or use it one booking only 50 rs get cut out of 400 from the yes madam wallet and wallet will expire today, if i need to utilise the money that to i have book atleast 10000 rs service, what kind if app isthis and very bad features and there is no support to chat as well and now my all money in wallet will be gone by today</t>
        </is>
      </c>
      <c r="H327" s="9" t="inlineStr">
        <is>
          <t>payment_refund</t>
        </is>
      </c>
      <c r="I327" s="9" t="inlineStr">
        <is>
          <t>wallet_or_coupon_lost</t>
        </is>
      </c>
      <c r="J327" s="9" t="inlineStr">
        <is>
          <t>price_clarity, support, app</t>
        </is>
      </c>
      <c r="K327" s="9" t="inlineStr">
        <is>
          <t>no</t>
        </is>
      </c>
      <c r="L327" s="9" t="inlineStr">
        <is>
          <t>no</t>
        </is>
      </c>
      <c r="M327" s="9" t="inlineStr">
        <is>
          <t>high</t>
        </is>
      </c>
      <c r="N327" s="9" t="inlineStr">
        <is>
          <t>no</t>
        </is>
      </c>
      <c r="O327" s="9" t="inlineStr">
        <is>
          <t>unknown</t>
        </is>
      </c>
      <c r="P327" s="9" t="inlineStr"/>
      <c r="Q327" s="9" t="n">
        <v>400</v>
      </c>
      <c r="R327" s="59" t="inlineStr">
        <is>
          <t>wallet will expire today, if i need to utilise the money that to i have book atleast 10000 rs service</t>
        </is>
      </c>
      <c r="S327" s="9" t="inlineStr">
        <is>
          <t>payment_refund</t>
        </is>
      </c>
      <c r="T327" s="9" t="inlineStr">
        <is>
          <t>payment_refund</t>
        </is>
      </c>
      <c r="U327" s="59" t="inlineStr"/>
    </row>
    <row r="328">
      <c r="A328" s="9" t="n">
        <v>327</v>
      </c>
      <c r="B328" s="58" t="n">
        <v>46238</v>
      </c>
      <c r="C328" s="9" t="str">
        <f>TEXT(B328,"yyyy-mm")</f>
        <v>2026-08</v>
      </c>
      <c r="D328" s="9" t="n">
        <v>5</v>
      </c>
      <c r="E328" s="9" t="inlineStr">
        <is>
          <t>18.5.0</t>
        </is>
      </c>
      <c r="F328" s="59" t="inlineStr">
        <is>
          <t>Pedicure skin is glowing ❤️🙏🏼🙏🏼</t>
        </is>
      </c>
      <c r="G328" s="59" t="inlineStr">
        <is>
          <t>Very good services with YM</t>
        </is>
      </c>
      <c r="H328" s="9" t="inlineStr">
        <is>
          <t>praise</t>
        </is>
      </c>
      <c r="I328" s="9" t="inlineStr">
        <is>
          <t>praise_service</t>
        </is>
      </c>
      <c r="J328" s="9" t="inlineStr"/>
      <c r="K328" s="9" t="inlineStr">
        <is>
          <t>no</t>
        </is>
      </c>
      <c r="L328" s="9" t="inlineStr">
        <is>
          <t>no</t>
        </is>
      </c>
      <c r="M328" s="9" t="inlineStr">
        <is>
          <t>none</t>
        </is>
      </c>
      <c r="N328" s="9" t="inlineStr">
        <is>
          <t>no</t>
        </is>
      </c>
      <c r="O328" s="9" t="inlineStr">
        <is>
          <t>mani_pedi</t>
        </is>
      </c>
      <c r="P328" s="9" t="inlineStr"/>
      <c r="Q328" s="9" t="n">
        <v>0</v>
      </c>
      <c r="R328" s="59" t="inlineStr">
        <is>
          <t>Very good services with YM</t>
        </is>
      </c>
      <c r="S328" s="9" t="inlineStr">
        <is>
          <t>praise</t>
        </is>
      </c>
      <c r="T328" s="9" t="inlineStr">
        <is>
          <t>praise</t>
        </is>
      </c>
      <c r="U328" s="59" t="inlineStr"/>
    </row>
    <row r="329">
      <c r="A329" s="9" t="n">
        <v>328</v>
      </c>
      <c r="B329" s="58" t="n">
        <v>46237</v>
      </c>
      <c r="C329" s="9" t="str">
        <f>TEXT(B329,"yyyy-mm")</f>
        <v>2026-08</v>
      </c>
      <c r="D329" s="9" t="n">
        <v>1</v>
      </c>
      <c r="E329" s="9" t="inlineStr">
        <is>
          <t>18.5.0</t>
        </is>
      </c>
      <c r="F329" s="59" t="inlineStr">
        <is>
          <t>Poor Service and No Professional Assigned</t>
        </is>
      </c>
      <c r="G329" s="59" t="inlineStr">
        <is>
          <t>I had a very disappointing experience with this app. Bookings are confirmed and payments are deducted immediately, but no professional is ever assigned, even after waiting week after week. The lack of communication and poor customer support make the service unreliable. If you can’t fulfill bookings, you shouldn’t accept payments in the first place. I wouldn’t recommend this app until these issues are addressed.</t>
        </is>
      </c>
      <c r="H329" s="9" t="inlineStr">
        <is>
          <t>payment_refund</t>
        </is>
      </c>
      <c r="I329" s="9" t="inlineStr">
        <is>
          <t>charged_not_served</t>
        </is>
      </c>
      <c r="J329" s="9" t="inlineStr">
        <is>
          <t>partner_cancellation, support</t>
        </is>
      </c>
      <c r="K329" s="9" t="inlineStr">
        <is>
          <t>yes</t>
        </is>
      </c>
      <c r="L329" s="9" t="inlineStr">
        <is>
          <t>yes</t>
        </is>
      </c>
      <c r="M329" s="9" t="inlineStr">
        <is>
          <t>high</t>
        </is>
      </c>
      <c r="N329" s="9" t="inlineStr">
        <is>
          <t>no</t>
        </is>
      </c>
      <c r="O329" s="9" t="inlineStr">
        <is>
          <t>unknown</t>
        </is>
      </c>
      <c r="P329" s="9" t="inlineStr"/>
      <c r="Q329" s="9" t="n">
        <v>0</v>
      </c>
      <c r="R329" s="59" t="inlineStr">
        <is>
          <t>Bookings are confirmed and payments are deducted immediately, but no professional is ever assigned, even after waiting week after week.</t>
        </is>
      </c>
      <c r="S329" s="9" t="inlineStr">
        <is>
          <t>payment_refund</t>
        </is>
      </c>
      <c r="T329" s="9" t="inlineStr">
        <is>
          <t>payment_refund</t>
        </is>
      </c>
      <c r="U329" s="59" t="inlineStr"/>
    </row>
    <row r="330">
      <c r="A330" s="9" t="n">
        <v>329</v>
      </c>
      <c r="B330" s="58" t="n">
        <v>46237</v>
      </c>
      <c r="C330" s="9" t="str">
        <f>TEXT(B330,"yyyy-mm")</f>
        <v>2026-08</v>
      </c>
      <c r="D330" s="9" t="n">
        <v>5</v>
      </c>
      <c r="E330" s="9" t="inlineStr">
        <is>
          <t>18.5.0</t>
        </is>
      </c>
      <c r="F330" s="59" t="inlineStr">
        <is>
          <t>Nice</t>
        </is>
      </c>
      <c r="G330" s="59" t="inlineStr">
        <is>
          <t>Good service</t>
        </is>
      </c>
      <c r="H330" s="9" t="inlineStr">
        <is>
          <t>praise</t>
        </is>
      </c>
      <c r="I330" s="9" t="inlineStr">
        <is>
          <t>praise_service</t>
        </is>
      </c>
      <c r="J330" s="9" t="inlineStr"/>
      <c r="K330" s="9" t="inlineStr">
        <is>
          <t>no</t>
        </is>
      </c>
      <c r="L330" s="9" t="inlineStr">
        <is>
          <t>no</t>
        </is>
      </c>
      <c r="M330" s="9" t="inlineStr">
        <is>
          <t>none</t>
        </is>
      </c>
      <c r="N330" s="9" t="inlineStr">
        <is>
          <t>no</t>
        </is>
      </c>
      <c r="O330" s="9" t="inlineStr">
        <is>
          <t>unknown</t>
        </is>
      </c>
      <c r="P330" s="9" t="inlineStr"/>
      <c r="Q330" s="9" t="n">
        <v>0</v>
      </c>
      <c r="R330" s="59" t="inlineStr">
        <is>
          <t>Good service</t>
        </is>
      </c>
      <c r="S330" s="9" t="inlineStr">
        <is>
          <t>praise</t>
        </is>
      </c>
      <c r="T330" s="9" t="inlineStr">
        <is>
          <t>praise</t>
        </is>
      </c>
      <c r="U330" s="59" t="inlineStr"/>
    </row>
    <row r="331">
      <c r="A331" s="9" t="n">
        <v>330</v>
      </c>
      <c r="B331" s="58" t="n">
        <v>46237</v>
      </c>
      <c r="C331" s="9" t="str">
        <f>TEXT(B331,"yyyy-mm")</f>
        <v>2026-08</v>
      </c>
      <c r="D331" s="9" t="n">
        <v>5</v>
      </c>
      <c r="E331" s="9" t="inlineStr">
        <is>
          <t>18.5.0</t>
        </is>
      </c>
      <c r="F331" s="59" t="inlineStr">
        <is>
          <t>Pedicure and face clean</t>
        </is>
      </c>
      <c r="G331" s="59" t="inlineStr">
        <is>
          <t>[name] is very polite and quiet girl. She does her job efficiently.</t>
        </is>
      </c>
      <c r="H331" s="9" t="inlineStr">
        <is>
          <t>praise</t>
        </is>
      </c>
      <c r="I331" s="9" t="inlineStr">
        <is>
          <t>praise_professional</t>
        </is>
      </c>
      <c r="J331" s="9" t="inlineStr"/>
      <c r="K331" s="9" t="inlineStr">
        <is>
          <t>no</t>
        </is>
      </c>
      <c r="L331" s="9" t="inlineStr">
        <is>
          <t>no</t>
        </is>
      </c>
      <c r="M331" s="9" t="inlineStr">
        <is>
          <t>none</t>
        </is>
      </c>
      <c r="N331" s="9" t="inlineStr">
        <is>
          <t>no</t>
        </is>
      </c>
      <c r="O331" s="9" t="inlineStr">
        <is>
          <t>multiple</t>
        </is>
      </c>
      <c r="P331" s="9" t="inlineStr"/>
      <c r="Q331" s="9" t="n">
        <v>0</v>
      </c>
      <c r="R331" s="59" t="inlineStr">
        <is>
          <t>[name] is very polite and quiet girl. She does her job efficiently.</t>
        </is>
      </c>
      <c r="S331" s="9" t="inlineStr">
        <is>
          <t>praise</t>
        </is>
      </c>
      <c r="T331" s="9" t="inlineStr">
        <is>
          <t>praise</t>
        </is>
      </c>
      <c r="U331" s="59" t="inlineStr"/>
    </row>
    <row r="332">
      <c r="A332" s="9" t="n">
        <v>331</v>
      </c>
      <c r="B332" s="58" t="n">
        <v>46236</v>
      </c>
      <c r="C332" s="9" t="str">
        <f>TEXT(B332,"yyyy-mm")</f>
        <v>2026-08</v>
      </c>
      <c r="D332" s="9" t="n">
        <v>5</v>
      </c>
      <c r="E332" s="9" t="inlineStr">
        <is>
          <t>18.5.0</t>
        </is>
      </c>
      <c r="F332" s="59" t="inlineStr">
        <is>
          <t>Facial</t>
        </is>
      </c>
      <c r="G332" s="59" t="inlineStr">
        <is>
          <t>Nice good services</t>
        </is>
      </c>
      <c r="H332" s="9" t="inlineStr">
        <is>
          <t>praise</t>
        </is>
      </c>
      <c r="I332" s="9" t="inlineStr">
        <is>
          <t>praise_service</t>
        </is>
      </c>
      <c r="J332" s="9" t="inlineStr"/>
      <c r="K332" s="9" t="inlineStr">
        <is>
          <t>no</t>
        </is>
      </c>
      <c r="L332" s="9" t="inlineStr">
        <is>
          <t>no</t>
        </is>
      </c>
      <c r="M332" s="9" t="inlineStr">
        <is>
          <t>none</t>
        </is>
      </c>
      <c r="N332" s="9" t="inlineStr">
        <is>
          <t>no</t>
        </is>
      </c>
      <c r="O332" s="9" t="inlineStr">
        <is>
          <t>facial_cleanup</t>
        </is>
      </c>
      <c r="P332" s="9" t="inlineStr"/>
      <c r="Q332" s="9" t="n">
        <v>0</v>
      </c>
      <c r="R332" s="59" t="inlineStr">
        <is>
          <t>Nice good services</t>
        </is>
      </c>
      <c r="S332" s="9" t="inlineStr">
        <is>
          <t>praise</t>
        </is>
      </c>
      <c r="T332" s="9" t="inlineStr">
        <is>
          <t>praise</t>
        </is>
      </c>
      <c r="U332" s="59" t="inlineStr"/>
    </row>
    <row r="333">
      <c r="A333" s="9" t="n">
        <v>332</v>
      </c>
      <c r="B333" s="58" t="n">
        <v>46236</v>
      </c>
      <c r="C333" s="9" t="str">
        <f>TEXT(B333,"yyyy-mm")</f>
        <v>2026-08</v>
      </c>
      <c r="D333" s="9" t="n">
        <v>5</v>
      </c>
      <c r="E333" s="9" t="inlineStr">
        <is>
          <t>18.5.0</t>
        </is>
      </c>
      <c r="F333" s="59" t="inlineStr">
        <is>
          <t>Nice Services</t>
        </is>
      </c>
      <c r="G333" s="59" t="inlineStr">
        <is>
          <t>I had a wonderful experience with yes madam. [name] ji did an excellent job. she was professional, polite and gental throughout the session.</t>
        </is>
      </c>
      <c r="H333" s="9" t="inlineStr">
        <is>
          <t>praise</t>
        </is>
      </c>
      <c r="I333" s="9" t="inlineStr">
        <is>
          <t>praise_professional</t>
        </is>
      </c>
      <c r="J333" s="9" t="inlineStr"/>
      <c r="K333" s="9" t="inlineStr">
        <is>
          <t>no</t>
        </is>
      </c>
      <c r="L333" s="9" t="inlineStr">
        <is>
          <t>no</t>
        </is>
      </c>
      <c r="M333" s="9" t="inlineStr">
        <is>
          <t>none</t>
        </is>
      </c>
      <c r="N333" s="9" t="inlineStr">
        <is>
          <t>no</t>
        </is>
      </c>
      <c r="O333" s="9" t="inlineStr">
        <is>
          <t>unknown</t>
        </is>
      </c>
      <c r="P333" s="9" t="inlineStr"/>
      <c r="Q333" s="9" t="n">
        <v>0</v>
      </c>
      <c r="R333" s="59" t="inlineStr">
        <is>
          <t>[name] ji did an excellent job. she was professional, polite and gental throughout the session.</t>
        </is>
      </c>
      <c r="S333" s="9" t="inlineStr">
        <is>
          <t>praise</t>
        </is>
      </c>
      <c r="T333" s="9" t="inlineStr">
        <is>
          <t>praise</t>
        </is>
      </c>
      <c r="U333" s="59" t="inlineStr"/>
    </row>
    <row r="334">
      <c r="A334" s="9" t="n">
        <v>333</v>
      </c>
      <c r="B334" s="58" t="n">
        <v>46236</v>
      </c>
      <c r="C334" s="9" t="str">
        <f>TEXT(B334,"yyyy-mm")</f>
        <v>2026-08</v>
      </c>
      <c r="D334" s="9" t="n">
        <v>1</v>
      </c>
      <c r="E334" s="9" t="inlineStr">
        <is>
          <t>18.5.0</t>
        </is>
      </c>
      <c r="F334" s="59" t="inlineStr">
        <is>
          <t>Poor Service, Mismanagement &amp; Zero Accountability</t>
        </is>
      </c>
      <c r="G334" s="59" t="inlineStr">
        <is>
          <t>I have been using YesMadam services for quite some time, but lately the quality of service and customer support has become extremely disappointing.
During my recent appointment, the machine required for the service stopped working midway. Instead of providing a proper solution, I was asked whether I wanted to leave the service halfway and reschedule it for another day. This was an unreasonable suggestion because the products had already been applied to my body. It is not practical or hygienic to expect a customer to leave with products still on their body just because the equipment failed.
Initially, my appointment was rescheduled to 15th August, and I was also given ₹200 as compensation. Since the service had already been interrupted, the remaining products had to be removed before I left. However, to my surprise, the rescheduled appointment was later changed again to 2nd August, even though the original service had already been left incomplete midway. The entire situation reflected poor planning and complete mismanagement.
What was even more disappointing was the behavior of the customer support team. Instead of accepting responsibility for their own operational issues, they blamed the customer. Executive [name] spoke to both me and the service professional in an unacceptable manner. The professional herself was shouted at to the extent that she broke down in tears. It was evident that YesMadam's internal teams were not on the same page, and the lack of communication was being passed on to the customer.
To make matters worse, after I raised my concerns, my account was blocked. Rather than addressing genuine complaints, it appears the company chooses to silence dissatisfied customers.
This is not an isolated incident. Similar issues have occurred with my bookings three to four times in the past. Every previous time, I accepted the apologies and chose not to take any legal action. However, repeated service failures, poor communication, lack of accountability, and disrespectful customer handling cannot continue.
My only question is: why was there so much miscommunication in the first place? Why was a service allowed to begin if the required equipment was not functioning? And why should the customer suffer because different teams within the company cannot coordinate with each other?
This experience has completely eroded my trust in YesMadam. Customers deserve professionalism, accountability, and respectful treatment—not confusion, blame, and having their complaints ignored.</t>
        </is>
      </c>
      <c r="H334" s="9" t="inlineStr">
        <is>
          <t>service_quality</t>
        </is>
      </c>
      <c r="I334" s="9" t="inlineStr">
        <is>
          <t>rushed_or_incomplete</t>
        </is>
      </c>
      <c r="J334" s="9" t="inlineStr">
        <is>
          <t>partner_cancellation, support, other</t>
        </is>
      </c>
      <c r="K334" s="9" t="inlineStr">
        <is>
          <t>yes</t>
        </is>
      </c>
      <c r="L334" s="9" t="inlineStr">
        <is>
          <t>yes</t>
        </is>
      </c>
      <c r="M334" s="9" t="inlineStr">
        <is>
          <t>medium</t>
        </is>
      </c>
      <c r="N334" s="9" t="inlineStr">
        <is>
          <t>no</t>
        </is>
      </c>
      <c r="O334" s="9" t="inlineStr">
        <is>
          <t>unknown</t>
        </is>
      </c>
      <c r="P334" s="9" t="inlineStr"/>
      <c r="Q334" s="9" t="n">
        <v>200</v>
      </c>
      <c r="R334" s="59" t="inlineStr">
        <is>
          <t>During my recent appointment, the machine required for the service stopped working midway. Instead of providing a proper solution</t>
        </is>
      </c>
      <c r="S334" s="9" t="inlineStr">
        <is>
          <t>service_quality</t>
        </is>
      </c>
      <c r="T334" s="9" t="inlineStr">
        <is>
          <t>service_quality</t>
        </is>
      </c>
      <c r="U334" s="59" t="inlineStr"/>
    </row>
    <row r="335">
      <c r="A335" s="9" t="n">
        <v>334</v>
      </c>
      <c r="B335" s="58" t="n">
        <v>46236</v>
      </c>
      <c r="C335" s="9" t="str">
        <f>TEXT(B335,"yyyy-mm")</f>
        <v>2026-08</v>
      </c>
      <c r="D335" s="9" t="n">
        <v>5</v>
      </c>
      <c r="E335" s="9" t="inlineStr">
        <is>
          <t>18.5.0</t>
        </is>
      </c>
      <c r="F335" s="59" t="inlineStr">
        <is>
          <t>[name]</t>
        </is>
      </c>
      <c r="G335" s="59" t="inlineStr">
        <is>
          <t>Loved how they incorporated 45 mins home service as well with the expert professionals having very polite behaviour♥️</t>
        </is>
      </c>
      <c r="H335" s="9" t="inlineStr">
        <is>
          <t>praise</t>
        </is>
      </c>
      <c r="I335" s="9" t="inlineStr">
        <is>
          <t>praise_service</t>
        </is>
      </c>
      <c r="J335" s="9" t="inlineStr"/>
      <c r="K335" s="9" t="inlineStr">
        <is>
          <t>no</t>
        </is>
      </c>
      <c r="L335" s="9" t="inlineStr">
        <is>
          <t>no</t>
        </is>
      </c>
      <c r="M335" s="9" t="inlineStr">
        <is>
          <t>none</t>
        </is>
      </c>
      <c r="N335" s="9" t="inlineStr">
        <is>
          <t>no</t>
        </is>
      </c>
      <c r="O335" s="9" t="inlineStr">
        <is>
          <t>unknown</t>
        </is>
      </c>
      <c r="P335" s="9" t="inlineStr"/>
      <c r="Q335" s="9" t="n">
        <v>0</v>
      </c>
      <c r="R335" s="59" t="inlineStr">
        <is>
          <t>Loved how they incorporated 45 mins home service as well with the expert professionals having very polite behaviour</t>
        </is>
      </c>
      <c r="S335" s="9" t="inlineStr">
        <is>
          <t>praise</t>
        </is>
      </c>
      <c r="T335" s="9" t="inlineStr">
        <is>
          <t>praise</t>
        </is>
      </c>
      <c r="U335" s="59" t="inlineStr"/>
    </row>
    <row r="336">
      <c r="A336" s="9" t="n">
        <v>335</v>
      </c>
      <c r="B336" s="58" t="n">
        <v>46236</v>
      </c>
      <c r="C336" s="9" t="str">
        <f>TEXT(B336,"yyyy-mm")</f>
        <v>2026-08</v>
      </c>
      <c r="D336" s="9" t="n">
        <v>5</v>
      </c>
      <c r="E336" s="9" t="inlineStr">
        <is>
          <t>18.5.0</t>
        </is>
      </c>
      <c r="F336" s="59" t="inlineStr">
        <is>
          <t>Excellent</t>
        </is>
      </c>
      <c r="G336" s="59" t="inlineStr">
        <is>
          <t>Excellent massage very relaxing</t>
        </is>
      </c>
      <c r="H336" s="9" t="inlineStr">
        <is>
          <t>praise</t>
        </is>
      </c>
      <c r="I336" s="9" t="inlineStr">
        <is>
          <t>praise_service</t>
        </is>
      </c>
      <c r="J336" s="9" t="inlineStr"/>
      <c r="K336" s="9" t="inlineStr">
        <is>
          <t>no</t>
        </is>
      </c>
      <c r="L336" s="9" t="inlineStr">
        <is>
          <t>no</t>
        </is>
      </c>
      <c r="M336" s="9" t="inlineStr">
        <is>
          <t>none</t>
        </is>
      </c>
      <c r="N336" s="9" t="inlineStr">
        <is>
          <t>no</t>
        </is>
      </c>
      <c r="O336" s="9" t="inlineStr">
        <is>
          <t>massage_spa</t>
        </is>
      </c>
      <c r="P336" s="9" t="inlineStr"/>
      <c r="Q336" s="9" t="n">
        <v>0</v>
      </c>
      <c r="R336" s="59" t="inlineStr">
        <is>
          <t>Excellent massage very relaxing</t>
        </is>
      </c>
      <c r="S336" s="9" t="inlineStr">
        <is>
          <t>praise</t>
        </is>
      </c>
      <c r="T336" s="9" t="inlineStr">
        <is>
          <t>praise</t>
        </is>
      </c>
      <c r="U336" s="59" t="inlineStr"/>
    </row>
    <row r="337">
      <c r="A337" s="9" t="n">
        <v>336</v>
      </c>
      <c r="B337" s="58" t="n">
        <v>46236</v>
      </c>
      <c r="C337" s="9" t="str">
        <f>TEXT(B337,"yyyy-mm")</f>
        <v>2026-08</v>
      </c>
      <c r="D337" s="9" t="n">
        <v>1</v>
      </c>
      <c r="E337" s="9" t="inlineStr">
        <is>
          <t>18.5.0</t>
        </is>
      </c>
      <c r="F337" s="59" t="inlineStr">
        <is>
          <t>Pathetic service, don’t recommend yes madam at all</t>
        </is>
      </c>
      <c r="G337" s="59" t="inlineStr">
        <is>
          <t>The beautician kept saying she is running late for service and we waited. No one really came for the services even after escalation they kept giving fake promises. She was suppposed to come at 2pm no one turned up till 5pm and we kept escalating and waiting for her to come though it was advance boooking and a day like Sunday we had to go through all this where it is difficult to get the booking at salon. Pathetic service. Never going recommend yes madam.</t>
        </is>
      </c>
      <c r="H337" s="9" t="inlineStr">
        <is>
          <t>partner_cancellation</t>
        </is>
      </c>
      <c r="I337" s="9" t="inlineStr">
        <is>
          <t>no_show</t>
        </is>
      </c>
      <c r="J337" s="9" t="inlineStr">
        <is>
          <t>delay, support</t>
        </is>
      </c>
      <c r="K337" s="9" t="inlineStr">
        <is>
          <t>yes</t>
        </is>
      </c>
      <c r="L337" s="9" t="inlineStr">
        <is>
          <t>yes</t>
        </is>
      </c>
      <c r="M337" s="9" t="inlineStr">
        <is>
          <t>medium</t>
        </is>
      </c>
      <c r="N337" s="9" t="inlineStr">
        <is>
          <t>no</t>
        </is>
      </c>
      <c r="O337" s="9" t="inlineStr">
        <is>
          <t>unknown</t>
        </is>
      </c>
      <c r="P337" s="9" t="inlineStr"/>
      <c r="Q337" s="9" t="n">
        <v>0</v>
      </c>
      <c r="R337" s="59" t="inlineStr">
        <is>
          <t>She was suppposed to come at 2pm no one turned up till 5pm and we kept escalating</t>
        </is>
      </c>
      <c r="S337" s="9" t="inlineStr">
        <is>
          <t>partner_cancellation</t>
        </is>
      </c>
      <c r="T337" s="9" t="inlineStr">
        <is>
          <t>partner_cancellation</t>
        </is>
      </c>
      <c r="U337" s="59" t="inlineStr"/>
    </row>
    <row r="338">
      <c r="A338" s="9" t="n">
        <v>337</v>
      </c>
      <c r="B338" s="58" t="n">
        <v>46236</v>
      </c>
      <c r="C338" s="9" t="str">
        <f>TEXT(B338,"yyyy-mm")</f>
        <v>2026-08</v>
      </c>
      <c r="D338" s="9" t="n">
        <v>5</v>
      </c>
      <c r="E338" s="9" t="inlineStr">
        <is>
          <t>18.5.0</t>
        </is>
      </c>
      <c r="F338" s="59" t="inlineStr">
        <is>
          <t>Good</t>
        </is>
      </c>
      <c r="G338" s="59" t="inlineStr">
        <is>
          <t>Good</t>
        </is>
      </c>
      <c r="H338" s="9" t="inlineStr">
        <is>
          <t>praise</t>
        </is>
      </c>
      <c r="I338" s="9" t="inlineStr">
        <is>
          <t>praise_service</t>
        </is>
      </c>
      <c r="J338" s="9" t="inlineStr"/>
      <c r="K338" s="9" t="inlineStr">
        <is>
          <t>no</t>
        </is>
      </c>
      <c r="L338" s="9" t="inlineStr">
        <is>
          <t>no</t>
        </is>
      </c>
      <c r="M338" s="9" t="inlineStr">
        <is>
          <t>none</t>
        </is>
      </c>
      <c r="N338" s="9" t="inlineStr">
        <is>
          <t>no</t>
        </is>
      </c>
      <c r="O338" s="9" t="inlineStr">
        <is>
          <t>unknown</t>
        </is>
      </c>
      <c r="P338" s="9" t="inlineStr"/>
      <c r="Q338" s="9" t="n">
        <v>0</v>
      </c>
      <c r="R338" s="59" t="inlineStr">
        <is>
          <t>Good</t>
        </is>
      </c>
      <c r="S338" s="9" t="inlineStr">
        <is>
          <t>praise</t>
        </is>
      </c>
      <c r="T338" s="9" t="inlineStr">
        <is>
          <t>praise</t>
        </is>
      </c>
      <c r="U338" s="59" t="inlineStr"/>
    </row>
    <row r="339">
      <c r="A339" s="9" t="n">
        <v>338</v>
      </c>
      <c r="B339" s="58" t="n">
        <v>46236</v>
      </c>
      <c r="C339" s="9" t="str">
        <f>TEXT(B339,"yyyy-mm")</f>
        <v>2026-08</v>
      </c>
      <c r="D339" s="9" t="n">
        <v>1</v>
      </c>
      <c r="E339" s="9" t="inlineStr">
        <is>
          <t>18.5.0</t>
        </is>
      </c>
      <c r="F339" s="59" t="inlineStr">
        <is>
          <t>No respect for customer timing</t>
        </is>
      </c>
      <c r="G339" s="59" t="inlineStr">
        <is>
          <t>Extremely disappointed with my experience with Yes Madam. I booked a service for 4:30 PM today, and instead of informing me beforehand, they called me at exactly 4:30 PM to say that no professional was available and asked me to reschedule my appointment.
This is completely unprofessional. I had planned my entire day around this booking, and informing a customer only at the scheduled time shows a complete lack of respect for their time. If there was an availability issue, I should have been notified much earlier.
Because of their poor planning and communication, I had to cancel my plans for no reason. I would not recommend booking with Yes Madam if you value your time, as this experience was extremely frustrating and disappointing.</t>
        </is>
      </c>
      <c r="H339" s="9" t="inlineStr">
        <is>
          <t>partner_cancellation</t>
        </is>
      </c>
      <c r="I339" s="9" t="inlineStr">
        <is>
          <t>no_partner_available</t>
        </is>
      </c>
      <c r="J339" s="9" t="inlineStr"/>
      <c r="K339" s="9" t="inlineStr">
        <is>
          <t>no</t>
        </is>
      </c>
      <c r="L339" s="9" t="inlineStr">
        <is>
          <t>no</t>
        </is>
      </c>
      <c r="M339" s="9" t="inlineStr">
        <is>
          <t>medium</t>
        </is>
      </c>
      <c r="N339" s="9" t="inlineStr">
        <is>
          <t>no</t>
        </is>
      </c>
      <c r="O339" s="9" t="inlineStr">
        <is>
          <t>unknown</t>
        </is>
      </c>
      <c r="P339" s="9" t="inlineStr"/>
      <c r="Q339" s="9" t="n">
        <v>0</v>
      </c>
      <c r="R339" s="59" t="inlineStr">
        <is>
          <t>they called me at exactly 4:30 PM to say that no professional was available and asked me to reschedule my appointment.</t>
        </is>
      </c>
      <c r="S339" s="9" t="inlineStr">
        <is>
          <t>partner_cancellation</t>
        </is>
      </c>
      <c r="T339" s="9" t="inlineStr">
        <is>
          <t>partner_cancellation</t>
        </is>
      </c>
      <c r="U339" s="59" t="inlineStr"/>
    </row>
    <row r="340">
      <c r="A340" s="9" t="n">
        <v>339</v>
      </c>
      <c r="B340" s="58" t="n">
        <v>46236</v>
      </c>
      <c r="C340" s="9" t="str">
        <f>TEXT(B340,"yyyy-mm")</f>
        <v>2026-08</v>
      </c>
      <c r="D340" s="9" t="n">
        <v>1</v>
      </c>
      <c r="E340" s="9" t="inlineStr">
        <is>
          <t>18.5.0</t>
        </is>
      </c>
      <c r="F340" s="59" t="inlineStr">
        <is>
          <t>[name]</t>
        </is>
      </c>
      <c r="G340" s="59" t="inlineStr">
        <is>
          <t>Worst app, totally fake don’t even book they never accept bookings &amp; cancel very end moment</t>
        </is>
      </c>
      <c r="H340" s="9" t="inlineStr">
        <is>
          <t>partner_cancellation</t>
        </is>
      </c>
      <c r="I340" s="9" t="inlineStr">
        <is>
          <t>last_minute_cancel</t>
        </is>
      </c>
      <c r="J340" s="9" t="inlineStr"/>
      <c r="K340" s="9" t="inlineStr">
        <is>
          <t>no</t>
        </is>
      </c>
      <c r="L340" s="9" t="inlineStr">
        <is>
          <t>no</t>
        </is>
      </c>
      <c r="M340" s="9" t="inlineStr">
        <is>
          <t>medium</t>
        </is>
      </c>
      <c r="N340" s="9" t="inlineStr">
        <is>
          <t>no</t>
        </is>
      </c>
      <c r="O340" s="9" t="inlineStr">
        <is>
          <t>unknown</t>
        </is>
      </c>
      <c r="P340" s="9" t="inlineStr"/>
      <c r="Q340" s="9" t="n">
        <v>0</v>
      </c>
      <c r="R340" s="59" t="inlineStr">
        <is>
          <t>Worst app, totally fake don’t even book they never accept bookings &amp; cancel very end moment</t>
        </is>
      </c>
      <c r="S340" s="9" t="inlineStr">
        <is>
          <t>partner_cancellation</t>
        </is>
      </c>
      <c r="T340" s="9" t="inlineStr">
        <is>
          <t>partner_cancellation</t>
        </is>
      </c>
      <c r="U340" s="59" t="inlineStr"/>
    </row>
    <row r="341">
      <c r="A341" s="9" t="n">
        <v>340</v>
      </c>
      <c r="B341" s="58" t="n">
        <v>46236</v>
      </c>
      <c r="C341" s="9" t="str">
        <f>TEXT(B341,"yyyy-mm")</f>
        <v>2026-08</v>
      </c>
      <c r="D341" s="9" t="n">
        <v>5</v>
      </c>
      <c r="E341" s="9" t="inlineStr">
        <is>
          <t>18.5.0</t>
        </is>
      </c>
      <c r="F341" s="59" t="inlineStr">
        <is>
          <t>Hydra facial</t>
        </is>
      </c>
      <c r="G341" s="59" t="inlineStr">
        <is>
          <t>[name] did my hydra facial it was pure magic 1.30 hour of clean up was very gentle nice and best part of was back message it was very relaxing</t>
        </is>
      </c>
      <c r="H341" s="9" t="inlineStr">
        <is>
          <t>praise</t>
        </is>
      </c>
      <c r="I341" s="9" t="inlineStr">
        <is>
          <t>praise_professional</t>
        </is>
      </c>
      <c r="J341" s="9" t="inlineStr"/>
      <c r="K341" s="9" t="inlineStr">
        <is>
          <t>no</t>
        </is>
      </c>
      <c r="L341" s="9" t="inlineStr">
        <is>
          <t>no</t>
        </is>
      </c>
      <c r="M341" s="9" t="inlineStr">
        <is>
          <t>none</t>
        </is>
      </c>
      <c r="N341" s="9" t="inlineStr">
        <is>
          <t>no</t>
        </is>
      </c>
      <c r="O341" s="9" t="inlineStr">
        <is>
          <t>facial_cleanup</t>
        </is>
      </c>
      <c r="P341" s="9" t="inlineStr"/>
      <c r="Q341" s="9" t="n">
        <v>0</v>
      </c>
      <c r="R341" s="59" t="inlineStr">
        <is>
          <t>[name] did my hydra facial it was pure magic 1.30 hour of clean up was very gentle nice</t>
        </is>
      </c>
      <c r="S341" s="9" t="inlineStr">
        <is>
          <t>praise</t>
        </is>
      </c>
      <c r="T341" s="9" t="inlineStr">
        <is>
          <t>praise</t>
        </is>
      </c>
      <c r="U341" s="59" t="inlineStr"/>
    </row>
    <row r="342">
      <c r="A342" s="9" t="n">
        <v>341</v>
      </c>
      <c r="B342" s="58" t="n">
        <v>46235</v>
      </c>
      <c r="C342" s="9" t="str">
        <f>TEXT(B342,"yyyy-mm")</f>
        <v>2026-08</v>
      </c>
      <c r="D342" s="9" t="n">
        <v>1</v>
      </c>
      <c r="E342" s="9" t="inlineStr">
        <is>
          <t>18.5.0</t>
        </is>
      </c>
      <c r="F342" s="59" t="inlineStr">
        <is>
          <t>Very bad exp</t>
        </is>
      </c>
      <c r="G342" s="59" t="inlineStr">
        <is>
          <t>I booked yes madam for facial, the expert confirmed booking and didn’t show up. Didn’t receive my calls and kept her status as on the way. They should hire some professional experts.</t>
        </is>
      </c>
      <c r="H342" s="9" t="inlineStr">
        <is>
          <t>partner_cancellation</t>
        </is>
      </c>
      <c r="I342" s="9" t="inlineStr">
        <is>
          <t>no_show</t>
        </is>
      </c>
      <c r="J342" s="9" t="inlineStr"/>
      <c r="K342" s="9" t="inlineStr">
        <is>
          <t>no</t>
        </is>
      </c>
      <c r="L342" s="9" t="inlineStr">
        <is>
          <t>no</t>
        </is>
      </c>
      <c r="M342" s="9" t="inlineStr">
        <is>
          <t>medium</t>
        </is>
      </c>
      <c r="N342" s="9" t="inlineStr">
        <is>
          <t>no</t>
        </is>
      </c>
      <c r="O342" s="9" t="inlineStr">
        <is>
          <t>facial_cleanup</t>
        </is>
      </c>
      <c r="P342" s="9" t="inlineStr"/>
      <c r="Q342" s="9" t="n">
        <v>0</v>
      </c>
      <c r="R342" s="59" t="inlineStr">
        <is>
          <t>the expert confirmed booking and didn’t show up. Didn’t receive my calls and kept her status as on the way.</t>
        </is>
      </c>
      <c r="S342" s="9" t="inlineStr">
        <is>
          <t>partner_cancellation</t>
        </is>
      </c>
      <c r="T342" s="9" t="inlineStr">
        <is>
          <t>partner_cancellation</t>
        </is>
      </c>
      <c r="U342" s="59" t="inlineStr"/>
    </row>
    <row r="343">
      <c r="A343" s="9" t="n">
        <v>342</v>
      </c>
      <c r="B343" s="58" t="n">
        <v>46235</v>
      </c>
      <c r="C343" s="9" t="str">
        <f>TEXT(B343,"yyyy-mm")</f>
        <v>2026-08</v>
      </c>
      <c r="D343" s="9" t="n">
        <v>5</v>
      </c>
      <c r="E343" s="9" t="inlineStr">
        <is>
          <t>18.5.0</t>
        </is>
      </c>
      <c r="F343" s="59" t="inlineStr">
        <is>
          <t>[name]</t>
        </is>
      </c>
      <c r="G343" s="59" t="inlineStr">
        <is>
          <t>services pf uea madam are very good. professionals are very polite and very aware of their work.</t>
        </is>
      </c>
      <c r="H343" s="9" t="inlineStr">
        <is>
          <t>praise</t>
        </is>
      </c>
      <c r="I343" s="9" t="inlineStr">
        <is>
          <t>praise_professional</t>
        </is>
      </c>
      <c r="J343" s="9" t="inlineStr"/>
      <c r="K343" s="9" t="inlineStr">
        <is>
          <t>no</t>
        </is>
      </c>
      <c r="L343" s="9" t="inlineStr">
        <is>
          <t>no</t>
        </is>
      </c>
      <c r="M343" s="9" t="inlineStr">
        <is>
          <t>none</t>
        </is>
      </c>
      <c r="N343" s="9" t="inlineStr">
        <is>
          <t>no</t>
        </is>
      </c>
      <c r="O343" s="9" t="inlineStr">
        <is>
          <t>unknown</t>
        </is>
      </c>
      <c r="P343" s="9" t="inlineStr"/>
      <c r="Q343" s="9" t="n">
        <v>0</v>
      </c>
      <c r="R343" s="59" t="inlineStr">
        <is>
          <t>professionals are very polite and very aware of their work.</t>
        </is>
      </c>
      <c r="S343" s="9" t="inlineStr">
        <is>
          <t>praise</t>
        </is>
      </c>
      <c r="T343" s="9" t="inlineStr">
        <is>
          <t>praise</t>
        </is>
      </c>
      <c r="U343" s="59" t="inlineStr"/>
    </row>
    <row r="344">
      <c r="A344" s="9" t="n">
        <v>343</v>
      </c>
      <c r="B344" s="58" t="n">
        <v>46235</v>
      </c>
      <c r="C344" s="9" t="str">
        <f>TEXT(B344,"yyyy-mm")</f>
        <v>2026-08</v>
      </c>
      <c r="D344" s="9" t="n">
        <v>1</v>
      </c>
      <c r="E344" s="9" t="inlineStr">
        <is>
          <t>18.5.0</t>
        </is>
      </c>
      <c r="F344" s="59" t="inlineStr">
        <is>
          <t>Worst services</t>
        </is>
      </c>
      <c r="G344" s="59" t="inlineStr">
        <is>
          <t>You can book appointment and pay for it beforehand but the beautician will not turn up and cancel at the last minute. And more importantly the customer service team will also not help with that. They want be next urbanclap but what they lack is service.</t>
        </is>
      </c>
      <c r="H344" s="9" t="inlineStr">
        <is>
          <t>partner_cancellation</t>
        </is>
      </c>
      <c r="I344" s="9" t="inlineStr">
        <is>
          <t>last_minute_cancel</t>
        </is>
      </c>
      <c r="J344" s="9" t="inlineStr">
        <is>
          <t>support</t>
        </is>
      </c>
      <c r="K344" s="9" t="inlineStr">
        <is>
          <t>yes</t>
        </is>
      </c>
      <c r="L344" s="9" t="inlineStr">
        <is>
          <t>yes</t>
        </is>
      </c>
      <c r="M344" s="9" t="inlineStr">
        <is>
          <t>medium</t>
        </is>
      </c>
      <c r="N344" s="9" t="inlineStr">
        <is>
          <t>no</t>
        </is>
      </c>
      <c r="O344" s="9" t="inlineStr">
        <is>
          <t>unknown</t>
        </is>
      </c>
      <c r="P344" s="9" t="inlineStr"/>
      <c r="Q344" s="9" t="n">
        <v>0</v>
      </c>
      <c r="R344" s="59" t="inlineStr">
        <is>
          <t>You can book appointment and pay for it beforehand but the beautician will not turn up and cancel at the last minute.</t>
        </is>
      </c>
      <c r="S344" s="9" t="inlineStr">
        <is>
          <t>partner_cancellation</t>
        </is>
      </c>
      <c r="T344" s="9" t="inlineStr">
        <is>
          <t>partner_cancellation</t>
        </is>
      </c>
      <c r="U344" s="59" t="inlineStr"/>
    </row>
    <row r="345">
      <c r="A345" s="9" t="n">
        <v>344</v>
      </c>
      <c r="B345" s="58" t="n">
        <v>46234</v>
      </c>
      <c r="C345" s="9" t="str">
        <f>TEXT(B345,"yyyy-mm")</f>
        <v>2026-07</v>
      </c>
      <c r="D345" s="9" t="n">
        <v>5</v>
      </c>
      <c r="E345" s="9" t="inlineStr">
        <is>
          <t>18.5.0</t>
        </is>
      </c>
      <c r="F345" s="59" t="inlineStr">
        <is>
          <t>Best service by [name]</t>
        </is>
      </c>
      <c r="G345" s="59" t="inlineStr">
        <is>
          <t>Outstanding service by [name]</t>
        </is>
      </c>
      <c r="H345" s="9" t="inlineStr">
        <is>
          <t>praise</t>
        </is>
      </c>
      <c r="I345" s="9" t="inlineStr">
        <is>
          <t>praise_professional</t>
        </is>
      </c>
      <c r="J345" s="9" t="inlineStr"/>
      <c r="K345" s="9" t="inlineStr">
        <is>
          <t>no</t>
        </is>
      </c>
      <c r="L345" s="9" t="inlineStr">
        <is>
          <t>no</t>
        </is>
      </c>
      <c r="M345" s="9" t="inlineStr">
        <is>
          <t>none</t>
        </is>
      </c>
      <c r="N345" s="9" t="inlineStr">
        <is>
          <t>no</t>
        </is>
      </c>
      <c r="O345" s="9" t="inlineStr">
        <is>
          <t>unknown</t>
        </is>
      </c>
      <c r="P345" s="9" t="inlineStr"/>
      <c r="Q345" s="9" t="n">
        <v>0</v>
      </c>
      <c r="R345" s="59" t="inlineStr">
        <is>
          <t>Outstanding service by [name]</t>
        </is>
      </c>
      <c r="S345" s="9" t="inlineStr">
        <is>
          <t>praise</t>
        </is>
      </c>
      <c r="T345" s="9" t="inlineStr">
        <is>
          <t>praise</t>
        </is>
      </c>
      <c r="U345" s="59" t="inlineStr"/>
    </row>
    <row r="346">
      <c r="A346" s="9" t="n">
        <v>345</v>
      </c>
      <c r="B346" s="58" t="n">
        <v>46234</v>
      </c>
      <c r="C346" s="9" t="str">
        <f>TEXT(B346,"yyyy-mm")</f>
        <v>2026-07</v>
      </c>
      <c r="D346" s="9" t="n">
        <v>1</v>
      </c>
      <c r="E346" s="9" t="inlineStr">
        <is>
          <t>18.5.0</t>
        </is>
      </c>
      <c r="F346" s="59" t="inlineStr">
        <is>
          <t>Extremely Unprofessional Service – Burned My Skin</t>
        </is>
      </c>
      <c r="G346" s="59" t="inlineStr">
        <is>
          <t>I had an extremely disappointing experience with Yes Madam. I booked a Rica waxing service, but the wax used did not seem genuine and looked like a duplicate product.
The beautician who came to my home was not properly trained in waxing. She did not know the correct waxing technique and ended up burning my hands and legs, leaving me with painful burn marks and patches. To make matters worse, after the service she admitted that she is actually a trained hairdresser, not a waxing expert.
This level of negligence is unacceptable. Customers trust the company to send trained professionals for the services they book. I paid for a premium waxing service but was left with burns on my body instead.
Overall, it was a horrible experience. I would not recommend this service to anyone unless the company improves its quality checks and ensures that only qualified professionals are assigned to customers.</t>
        </is>
      </c>
      <c r="H346" s="9" t="inlineStr">
        <is>
          <t>service_quality</t>
        </is>
      </c>
      <c r="I346" s="9" t="inlineStr">
        <is>
          <t>skin_injury_or_reaction</t>
        </is>
      </c>
      <c r="J346" s="9" t="inlineStr">
        <is>
          <t>product_fit</t>
        </is>
      </c>
      <c r="K346" s="9" t="inlineStr">
        <is>
          <t>no</t>
        </is>
      </c>
      <c r="L346" s="9" t="inlineStr">
        <is>
          <t>no</t>
        </is>
      </c>
      <c r="M346" s="9" t="inlineStr">
        <is>
          <t>high</t>
        </is>
      </c>
      <c r="N346" s="9" t="inlineStr">
        <is>
          <t>no</t>
        </is>
      </c>
      <c r="O346" s="9" t="inlineStr">
        <is>
          <t>waxing</t>
        </is>
      </c>
      <c r="P346" s="9" t="inlineStr"/>
      <c r="Q346" s="9" t="n">
        <v>0</v>
      </c>
      <c r="R346" s="59" t="inlineStr">
        <is>
          <t>She did not know the correct waxing technique and ended up burning my hands and legs, leaving me with painful burn marks</t>
        </is>
      </c>
      <c r="S346" s="9" t="inlineStr">
        <is>
          <t>service_quality</t>
        </is>
      </c>
      <c r="T346" s="9" t="inlineStr">
        <is>
          <t>service_quality</t>
        </is>
      </c>
      <c r="U346" s="59" t="inlineStr"/>
    </row>
    <row r="347">
      <c r="A347" s="9" t="n">
        <v>346</v>
      </c>
      <c r="B347" s="58" t="n">
        <v>46234</v>
      </c>
      <c r="C347" s="9" t="str">
        <f>TEXT(B347,"yyyy-mm")</f>
        <v>2026-07</v>
      </c>
      <c r="D347" s="9" t="n">
        <v>1</v>
      </c>
      <c r="E347" s="9" t="inlineStr">
        <is>
          <t>18.5.0</t>
        </is>
      </c>
      <c r="F347" s="59" t="inlineStr">
        <is>
          <t>Too bad</t>
        </is>
      </c>
      <c r="G347" s="59" t="inlineStr">
        <is>
          <t>They only have a few good professionals, rest of the lot are non trained nukkarwali parlour Didis who will ruin your skin and then blame it on your skin!! Uneducated people. I had two big instances when they ruined my armpits and then my face!! Just cannot trust YM anymore, after using for 7 months. 
Ultimately a failure service provider.</t>
        </is>
      </c>
      <c r="H347" s="9" t="inlineStr">
        <is>
          <t>service_quality</t>
        </is>
      </c>
      <c r="I347" s="9" t="inlineStr">
        <is>
          <t>skin_injury_or_reaction</t>
        </is>
      </c>
      <c r="J347" s="9" t="inlineStr"/>
      <c r="K347" s="9" t="inlineStr">
        <is>
          <t>no</t>
        </is>
      </c>
      <c r="L347" s="9" t="inlineStr">
        <is>
          <t>no</t>
        </is>
      </c>
      <c r="M347" s="9" t="inlineStr">
        <is>
          <t>high</t>
        </is>
      </c>
      <c r="N347" s="9" t="inlineStr">
        <is>
          <t>yes</t>
        </is>
      </c>
      <c r="O347" s="9" t="inlineStr">
        <is>
          <t>multiple</t>
        </is>
      </c>
      <c r="P347" s="9" t="inlineStr"/>
      <c r="Q347" s="9" t="n">
        <v>0</v>
      </c>
      <c r="R347" s="59" t="inlineStr">
        <is>
          <t>rest of the lot are non trained nukkarwali parlour Didis who will ruin your skin and then blame it on your skin!!</t>
        </is>
      </c>
      <c r="S347" s="9" t="inlineStr">
        <is>
          <t>service_quality</t>
        </is>
      </c>
      <c r="T347" s="9" t="inlineStr">
        <is>
          <t>service_quality</t>
        </is>
      </c>
      <c r="U347" s="59" t="inlineStr"/>
    </row>
    <row r="348">
      <c r="A348" s="9" t="n">
        <v>347</v>
      </c>
      <c r="B348" s="58" t="n">
        <v>46234</v>
      </c>
      <c r="C348" s="9" t="str">
        <f>TEXT(B348,"yyyy-mm")</f>
        <v>2026-07</v>
      </c>
      <c r="D348" s="9" t="n">
        <v>5</v>
      </c>
      <c r="E348" s="9" t="inlineStr">
        <is>
          <t>18.5.0</t>
        </is>
      </c>
      <c r="F348" s="59" t="inlineStr">
        <is>
          <t>[name]’s service</t>
        </is>
      </c>
      <c r="G348" s="59" t="inlineStr">
        <is>
          <t>Excellent service given. Feeling pampered by the service with a personal touch. Thank you [name] didi.</t>
        </is>
      </c>
      <c r="H348" s="9" t="inlineStr">
        <is>
          <t>praise</t>
        </is>
      </c>
      <c r="I348" s="9" t="inlineStr">
        <is>
          <t>praise_professional</t>
        </is>
      </c>
      <c r="J348" s="9" t="inlineStr"/>
      <c r="K348" s="9" t="inlineStr">
        <is>
          <t>no</t>
        </is>
      </c>
      <c r="L348" s="9" t="inlineStr">
        <is>
          <t>no</t>
        </is>
      </c>
      <c r="M348" s="9" t="inlineStr">
        <is>
          <t>none</t>
        </is>
      </c>
      <c r="N348" s="9" t="inlineStr">
        <is>
          <t>no</t>
        </is>
      </c>
      <c r="O348" s="9" t="inlineStr">
        <is>
          <t>unknown</t>
        </is>
      </c>
      <c r="P348" s="9" t="inlineStr"/>
      <c r="Q348" s="9" t="n">
        <v>0</v>
      </c>
      <c r="R348" s="59" t="inlineStr">
        <is>
          <t>Excellent service given. Feeling pampered by the service with a personal touch. Thank you [name] didi.</t>
        </is>
      </c>
      <c r="S348" s="9" t="inlineStr">
        <is>
          <t>praise</t>
        </is>
      </c>
      <c r="T348" s="9" t="inlineStr">
        <is>
          <t>praise</t>
        </is>
      </c>
      <c r="U348" s="59" t="inlineStr"/>
    </row>
    <row r="349">
      <c r="A349" s="9" t="n">
        <v>348</v>
      </c>
      <c r="B349" s="58" t="n">
        <v>46234</v>
      </c>
      <c r="C349" s="9" t="str">
        <f>TEXT(B349,"yyyy-mm")</f>
        <v>2026-07</v>
      </c>
      <c r="D349" s="9" t="n">
        <v>5</v>
      </c>
      <c r="E349" s="9" t="inlineStr">
        <is>
          <t>18.5.0</t>
        </is>
      </c>
      <c r="F349" s="59" t="inlineStr">
        <is>
          <t>Hydra Facial</t>
        </is>
      </c>
      <c r="G349" s="59" t="inlineStr">
        <is>
          <t>Great service and all steps explained and post care as well. Would repeat [name] for same service</t>
        </is>
      </c>
      <c r="H349" s="9" t="inlineStr">
        <is>
          <t>praise</t>
        </is>
      </c>
      <c r="I349" s="9" t="inlineStr">
        <is>
          <t>praise_professional</t>
        </is>
      </c>
      <c r="J349" s="9" t="inlineStr"/>
      <c r="K349" s="9" t="inlineStr">
        <is>
          <t>no</t>
        </is>
      </c>
      <c r="L349" s="9" t="inlineStr">
        <is>
          <t>no</t>
        </is>
      </c>
      <c r="M349" s="9" t="inlineStr">
        <is>
          <t>none</t>
        </is>
      </c>
      <c r="N349" s="9" t="inlineStr">
        <is>
          <t>no</t>
        </is>
      </c>
      <c r="O349" s="9" t="inlineStr">
        <is>
          <t>facial_cleanup</t>
        </is>
      </c>
      <c r="P349" s="9" t="inlineStr"/>
      <c r="Q349" s="9" t="n">
        <v>0</v>
      </c>
      <c r="R349" s="59" t="inlineStr">
        <is>
          <t>Great service and all steps explained and post care as well. Would repeat [name] for same service</t>
        </is>
      </c>
      <c r="S349" s="9" t="inlineStr">
        <is>
          <t>praise</t>
        </is>
      </c>
      <c r="T349" s="9" t="inlineStr">
        <is>
          <t>praise</t>
        </is>
      </c>
      <c r="U349" s="59" t="inlineStr"/>
    </row>
    <row r="350">
      <c r="A350" s="9" t="n">
        <v>349</v>
      </c>
      <c r="B350" s="58" t="n">
        <v>46233</v>
      </c>
      <c r="C350" s="9" t="str">
        <f>TEXT(B350,"yyyy-mm")</f>
        <v>2026-07</v>
      </c>
      <c r="D350" s="9" t="n">
        <v>1</v>
      </c>
      <c r="E350" s="9" t="inlineStr">
        <is>
          <t>18.5.0</t>
        </is>
      </c>
      <c r="F350" s="59" t="inlineStr">
        <is>
          <t>Waste of money</t>
        </is>
      </c>
      <c r="G350" s="59" t="inlineStr">
        <is>
          <t>Very hurry and given time did not use
Only machine massage done 
No hand massage 
When I asked about it she said machine set the time according to your skin 
Hardly 20 minutes massage 
No steaming done 
No black heads and white heads removed 
Waste of money 
Back massage not even one minute</t>
        </is>
      </c>
      <c r="H350" s="9" t="inlineStr">
        <is>
          <t>service_quality</t>
        </is>
      </c>
      <c r="I350" s="9" t="inlineStr">
        <is>
          <t>rushed_or_incomplete</t>
        </is>
      </c>
      <c r="J350" s="9" t="inlineStr"/>
      <c r="K350" s="9" t="inlineStr">
        <is>
          <t>no</t>
        </is>
      </c>
      <c r="L350" s="9" t="inlineStr">
        <is>
          <t>no</t>
        </is>
      </c>
      <c r="M350" s="9" t="inlineStr">
        <is>
          <t>medium</t>
        </is>
      </c>
      <c r="N350" s="9" t="inlineStr">
        <is>
          <t>no</t>
        </is>
      </c>
      <c r="O350" s="9" t="inlineStr">
        <is>
          <t>facial_cleanup</t>
        </is>
      </c>
      <c r="P350" s="9" t="inlineStr"/>
      <c r="Q350" s="9" t="n">
        <v>0</v>
      </c>
      <c r="R350" s="59" t="inlineStr">
        <is>
          <t>Hardly 20 minutes massage  No steaming done  No black heads and white heads removed  Waste of money</t>
        </is>
      </c>
      <c r="S350" s="9" t="inlineStr">
        <is>
          <t>service_quality</t>
        </is>
      </c>
      <c r="T350" s="9" t="inlineStr">
        <is>
          <t>service_quality</t>
        </is>
      </c>
      <c r="U350" s="59" t="inlineStr"/>
    </row>
    <row r="351">
      <c r="A351" s="9" t="n">
        <v>350</v>
      </c>
      <c r="B351" s="58" t="n">
        <v>46233</v>
      </c>
      <c r="C351" s="9" t="str">
        <f>TEXT(B351,"yyyy-mm")</f>
        <v>2026-07</v>
      </c>
      <c r="D351" s="9" t="n">
        <v>5</v>
      </c>
      <c r="E351" s="9" t="inlineStr">
        <is>
          <t>18.5.0</t>
        </is>
      </c>
      <c r="F351" s="59" t="inlineStr">
        <is>
          <t>Excellent service and response by Bengaluru Ops team</t>
        </is>
      </c>
      <c r="G351" s="59" t="inlineStr">
        <is>
          <t>I recently had an outstanding experience with the Bangalore Operations team at YesMadam. Although no nearby executive initially had the required pedicure products, [name] and [name] from the Ops team proactively contacted nearly 15–20 professionals to check availability and readiness. Their responsiveness, professionalism, and unwavering customer-first approach ensured my appointment was arranged within the requested time slot. Truly impressed by their dedication and willingness to go the extra mile. Excellent service and highly commendable support!</t>
        </is>
      </c>
      <c r="H351" s="9" t="inlineStr">
        <is>
          <t>praise</t>
        </is>
      </c>
      <c r="I351" s="9" t="inlineStr">
        <is>
          <t>praise_service</t>
        </is>
      </c>
      <c r="J351" s="9" t="inlineStr"/>
      <c r="K351" s="9" t="inlineStr">
        <is>
          <t>no</t>
        </is>
      </c>
      <c r="L351" s="9" t="inlineStr">
        <is>
          <t>no</t>
        </is>
      </c>
      <c r="M351" s="9" t="inlineStr">
        <is>
          <t>none</t>
        </is>
      </c>
      <c r="N351" s="9" t="inlineStr">
        <is>
          <t>no</t>
        </is>
      </c>
      <c r="O351" s="9" t="inlineStr">
        <is>
          <t>mani_pedi</t>
        </is>
      </c>
      <c r="P351" s="9" t="inlineStr">
        <is>
          <t>Bengaluru</t>
        </is>
      </c>
      <c r="Q351" s="9" t="n">
        <v>0</v>
      </c>
      <c r="R351" s="59" t="inlineStr">
        <is>
          <t>[name] and [name] from the Ops team proactively contacted nearly 15–20 professionals to check availability and readiness.</t>
        </is>
      </c>
      <c r="S351" s="9" t="inlineStr">
        <is>
          <t>praise</t>
        </is>
      </c>
      <c r="T351" s="9" t="inlineStr">
        <is>
          <t>praise</t>
        </is>
      </c>
      <c r="U351" s="59" t="inlineStr"/>
    </row>
    <row r="352">
      <c r="A352" s="9" t="n">
        <v>351</v>
      </c>
      <c r="B352" s="58" t="n">
        <v>46233</v>
      </c>
      <c r="C352" s="9" t="str">
        <f>TEXT(B352,"yyyy-mm")</f>
        <v>2026-07</v>
      </c>
      <c r="D352" s="9" t="n">
        <v>1</v>
      </c>
      <c r="E352" s="9" t="inlineStr">
        <is>
          <t>18.5.0</t>
        </is>
      </c>
      <c r="F352" s="59" t="inlineStr">
        <is>
          <t>Regarding professional</t>
        </is>
      </c>
      <c r="G352" s="59" t="inlineStr">
        <is>
          <t>Very Pathetic &amp; Unprofessional Service
I had a very disappointing experience with Yes Madam. ([name]).The beautician kept insisting that I upgrade to Rica wax, repeatedly saying that the regular wax wasn’t good. If someone cannot afford Rica wax, does that mean they don’t deserve good service? A professional should be able to provide quality service with whichever wax the customer has booked, instead of constantly trying to upsell.
The facial was completed in just 30 minutes, which felt rushed and incomplete. It did not feel like a proper facial at all.
Additionally, no leftover cleanup was done after the waxing, and neither pre-wax nor after-wax cream was applied. These are basic hygiene and service standards that were completely ignored.
Overall, the service was highly unprofessional and not worth the money. I expected much better quality from Yes Madam.</t>
        </is>
      </c>
      <c r="H352" s="9" t="inlineStr">
        <is>
          <t>product_fit</t>
        </is>
      </c>
      <c r="I352" s="9" t="inlineStr">
        <is>
          <t>product_upsell</t>
        </is>
      </c>
      <c r="J352" s="9" t="inlineStr">
        <is>
          <t>service_quality</t>
        </is>
      </c>
      <c r="K352" s="9" t="inlineStr">
        <is>
          <t>no</t>
        </is>
      </c>
      <c r="L352" s="9" t="inlineStr">
        <is>
          <t>no</t>
        </is>
      </c>
      <c r="M352" s="9" t="inlineStr">
        <is>
          <t>medium</t>
        </is>
      </c>
      <c r="N352" s="9" t="inlineStr">
        <is>
          <t>no</t>
        </is>
      </c>
      <c r="O352" s="9" t="inlineStr">
        <is>
          <t>multiple</t>
        </is>
      </c>
      <c r="P352" s="9" t="inlineStr"/>
      <c r="Q352" s="9" t="n">
        <v>0</v>
      </c>
      <c r="R352" s="59" t="inlineStr">
        <is>
          <t>The beautician kept insisting that I upgrade to Rica wax, repeatedly saying that the regular wax wasn’t good.</t>
        </is>
      </c>
      <c r="S352" s="9" t="inlineStr">
        <is>
          <t>product_fit</t>
        </is>
      </c>
      <c r="T352" s="9" t="inlineStr">
        <is>
          <t>product_fit</t>
        </is>
      </c>
      <c r="U352" s="59" t="inlineStr"/>
    </row>
    <row r="353">
      <c r="A353" s="9" t="n">
        <v>352</v>
      </c>
      <c r="B353" s="58" t="n">
        <v>46233</v>
      </c>
      <c r="C353" s="9" t="str">
        <f>TEXT(B353,"yyyy-mm")</f>
        <v>2026-07</v>
      </c>
      <c r="D353" s="9" t="n">
        <v>5</v>
      </c>
      <c r="E353" s="9" t="inlineStr">
        <is>
          <t>18.5.0</t>
        </is>
      </c>
      <c r="F353" s="59" t="inlineStr">
        <is>
          <t>[name] professional</t>
        </is>
      </c>
      <c r="G353" s="59" t="inlineStr">
        <is>
          <t>[name] is truly an exceptional professional. Her massage was incredibly relaxing—both for the body and the mind. Once you experience [name]’s service, it’s hard to even think of going to anyone else. Thank you, GS Madam, and a special thank you to [name] for such a wonderful experience! 💆‍♀️✨</t>
        </is>
      </c>
      <c r="H353" s="9" t="inlineStr">
        <is>
          <t>praise</t>
        </is>
      </c>
      <c r="I353" s="9" t="inlineStr">
        <is>
          <t>praise_professional</t>
        </is>
      </c>
      <c r="J353" s="9" t="inlineStr"/>
      <c r="K353" s="9" t="inlineStr">
        <is>
          <t>no</t>
        </is>
      </c>
      <c r="L353" s="9" t="inlineStr">
        <is>
          <t>no</t>
        </is>
      </c>
      <c r="M353" s="9" t="inlineStr">
        <is>
          <t>none</t>
        </is>
      </c>
      <c r="N353" s="9" t="inlineStr">
        <is>
          <t>no</t>
        </is>
      </c>
      <c r="O353" s="9" t="inlineStr">
        <is>
          <t>massage_spa</t>
        </is>
      </c>
      <c r="P353" s="9" t="inlineStr"/>
      <c r="Q353" s="9" t="n">
        <v>0</v>
      </c>
      <c r="R353" s="59" t="inlineStr">
        <is>
          <t>[name] is truly an exceptional professional. Her massage was incredibly relaxing—both for the body and the mind.</t>
        </is>
      </c>
      <c r="S353" s="9" t="inlineStr">
        <is>
          <t>praise</t>
        </is>
      </c>
      <c r="T353" s="9" t="inlineStr">
        <is>
          <t>praise</t>
        </is>
      </c>
      <c r="U353" s="59" t="inlineStr"/>
    </row>
    <row r="354">
      <c r="A354" s="9" t="n">
        <v>353</v>
      </c>
      <c r="B354" s="58" t="n">
        <v>46232</v>
      </c>
      <c r="C354" s="9" t="str">
        <f>TEXT(B354,"yyyy-mm")</f>
        <v>2026-07</v>
      </c>
      <c r="D354" s="9" t="n">
        <v>1</v>
      </c>
      <c r="E354" s="9" t="inlineStr">
        <is>
          <t>18.5.0</t>
        </is>
      </c>
      <c r="F354" s="59" t="inlineStr">
        <is>
          <t>Service in 45 min is worst</t>
        </is>
      </c>
      <c r="G354" s="59" t="inlineStr">
        <is>
          <t>They assigning before 45 minutes, because of this they unable to deliver causing cancellation, remove 45 min option. Minimum 90 required for service</t>
        </is>
      </c>
      <c r="H354" s="9" t="inlineStr">
        <is>
          <t>partner_cancellation</t>
        </is>
      </c>
      <c r="I354" s="9" t="inlineStr">
        <is>
          <t>last_minute_cancel</t>
        </is>
      </c>
      <c r="J354" s="9" t="inlineStr">
        <is>
          <t>delay</t>
        </is>
      </c>
      <c r="K354" s="9" t="inlineStr">
        <is>
          <t>no</t>
        </is>
      </c>
      <c r="L354" s="9" t="inlineStr">
        <is>
          <t>no</t>
        </is>
      </c>
      <c r="M354" s="9" t="inlineStr">
        <is>
          <t>medium</t>
        </is>
      </c>
      <c r="N354" s="9" t="inlineStr">
        <is>
          <t>no</t>
        </is>
      </c>
      <c r="O354" s="9" t="inlineStr">
        <is>
          <t>unknown</t>
        </is>
      </c>
      <c r="P354" s="9" t="inlineStr"/>
      <c r="Q354" s="9" t="n">
        <v>0</v>
      </c>
      <c r="R354" s="59" t="inlineStr">
        <is>
          <t>They assigning before 45 minutes, because of this they unable to deliver causing cancellation, remove 45 min option.</t>
        </is>
      </c>
      <c r="S354" s="9" t="inlineStr">
        <is>
          <t>partner_cancellation</t>
        </is>
      </c>
      <c r="T354" s="9" t="inlineStr">
        <is>
          <t>partner_cancellation</t>
        </is>
      </c>
      <c r="U354" s="59" t="inlineStr"/>
    </row>
    <row r="355">
      <c r="A355" s="9" t="n">
        <v>354</v>
      </c>
      <c r="B355" s="58" t="n">
        <v>46232</v>
      </c>
      <c r="C355" s="9" t="str">
        <f>TEXT(B355,"yyyy-mm")</f>
        <v>2026-07</v>
      </c>
      <c r="D355" s="9" t="n">
        <v>5</v>
      </c>
      <c r="E355" s="9" t="inlineStr">
        <is>
          <t>18.5.0</t>
        </is>
      </c>
      <c r="F355" s="59" t="inlineStr">
        <is>
          <t>[name]</t>
        </is>
      </c>
      <c r="G355" s="59" t="inlineStr">
        <is>
          <t>Best service provided .</t>
        </is>
      </c>
      <c r="H355" s="9" t="inlineStr">
        <is>
          <t>praise</t>
        </is>
      </c>
      <c r="I355" s="9" t="inlineStr">
        <is>
          <t>praise_professional</t>
        </is>
      </c>
      <c r="J355" s="9" t="inlineStr"/>
      <c r="K355" s="9" t="inlineStr">
        <is>
          <t>no</t>
        </is>
      </c>
      <c r="L355" s="9" t="inlineStr">
        <is>
          <t>no</t>
        </is>
      </c>
      <c r="M355" s="9" t="inlineStr">
        <is>
          <t>none</t>
        </is>
      </c>
      <c r="N355" s="9" t="inlineStr">
        <is>
          <t>no</t>
        </is>
      </c>
      <c r="O355" s="9" t="inlineStr">
        <is>
          <t>unknown</t>
        </is>
      </c>
      <c r="P355" s="9" t="inlineStr"/>
      <c r="Q355" s="9" t="n">
        <v>0</v>
      </c>
      <c r="R355" s="59" t="inlineStr">
        <is>
          <t>Best service provided .</t>
        </is>
      </c>
      <c r="S355" s="9" t="inlineStr">
        <is>
          <t>praise</t>
        </is>
      </c>
      <c r="T355" s="9" t="inlineStr">
        <is>
          <t>praise</t>
        </is>
      </c>
      <c r="U355" s="59" t="inlineStr"/>
    </row>
    <row r="356">
      <c r="A356" s="9" t="n">
        <v>355</v>
      </c>
      <c r="B356" s="58" t="n">
        <v>46231</v>
      </c>
      <c r="C356" s="9" t="str">
        <f>TEXT(B356,"yyyy-mm")</f>
        <v>2026-07</v>
      </c>
      <c r="D356" s="9" t="n">
        <v>5</v>
      </c>
      <c r="E356" s="9" t="inlineStr">
        <is>
          <t>18.5.0</t>
        </is>
      </c>
      <c r="F356" s="59" t="inlineStr">
        <is>
          <t>Best &amp; Reliable</t>
        </is>
      </c>
      <c r="G356" s="59" t="inlineStr">
        <is>
          <t>Good product,Expert team overall Best experience</t>
        </is>
      </c>
      <c r="H356" s="9" t="inlineStr">
        <is>
          <t>praise</t>
        </is>
      </c>
      <c r="I356" s="9" t="inlineStr">
        <is>
          <t>praise_service</t>
        </is>
      </c>
      <c r="J356" s="9" t="inlineStr"/>
      <c r="K356" s="9" t="inlineStr">
        <is>
          <t>no</t>
        </is>
      </c>
      <c r="L356" s="9" t="inlineStr">
        <is>
          <t>no</t>
        </is>
      </c>
      <c r="M356" s="9" t="inlineStr">
        <is>
          <t>none</t>
        </is>
      </c>
      <c r="N356" s="9" t="inlineStr">
        <is>
          <t>no</t>
        </is>
      </c>
      <c r="O356" s="9" t="inlineStr">
        <is>
          <t>unknown</t>
        </is>
      </c>
      <c r="P356" s="9" t="inlineStr"/>
      <c r="Q356" s="9" t="n">
        <v>0</v>
      </c>
      <c r="R356" s="59" t="inlineStr">
        <is>
          <t>Good product,Expert team overall Best experience</t>
        </is>
      </c>
      <c r="S356" s="9" t="inlineStr">
        <is>
          <t>praise</t>
        </is>
      </c>
      <c r="T356" s="9" t="inlineStr">
        <is>
          <t>praise</t>
        </is>
      </c>
      <c r="U356" s="59" t="inlineStr"/>
    </row>
    <row r="357">
      <c r="A357" s="9" t="n">
        <v>356</v>
      </c>
      <c r="B357" s="58" t="n">
        <v>46231</v>
      </c>
      <c r="C357" s="9" t="str">
        <f>TEXT(B357,"yyyy-mm")</f>
        <v>2026-07</v>
      </c>
      <c r="D357" s="9" t="n">
        <v>5</v>
      </c>
      <c r="E357" s="9" t="inlineStr">
        <is>
          <t>18.5.0</t>
        </is>
      </c>
      <c r="F357" s="59" t="inlineStr">
        <is>
          <t>Hydra clean up</t>
        </is>
      </c>
      <c r="G357" s="59" t="inlineStr">
        <is>
          <t>[name] (service was very good, totally worth it…)</t>
        </is>
      </c>
      <c r="H357" s="9" t="inlineStr">
        <is>
          <t>praise</t>
        </is>
      </c>
      <c r="I357" s="9" t="inlineStr">
        <is>
          <t>praise_professional</t>
        </is>
      </c>
      <c r="J357" s="9" t="inlineStr"/>
      <c r="K357" s="9" t="inlineStr">
        <is>
          <t>no</t>
        </is>
      </c>
      <c r="L357" s="9" t="inlineStr">
        <is>
          <t>no</t>
        </is>
      </c>
      <c r="M357" s="9" t="inlineStr">
        <is>
          <t>none</t>
        </is>
      </c>
      <c r="N357" s="9" t="inlineStr">
        <is>
          <t>no</t>
        </is>
      </c>
      <c r="O357" s="9" t="inlineStr">
        <is>
          <t>facial_cleanup</t>
        </is>
      </c>
      <c r="P357" s="9" t="inlineStr"/>
      <c r="Q357" s="9" t="n">
        <v>0</v>
      </c>
      <c r="R357" s="59" t="inlineStr">
        <is>
          <t>[name] (service was very good, totally worth it…)</t>
        </is>
      </c>
      <c r="S357" s="9" t="inlineStr">
        <is>
          <t>praise</t>
        </is>
      </c>
      <c r="T357" s="9" t="inlineStr">
        <is>
          <t>praise</t>
        </is>
      </c>
      <c r="U357" s="59" t="inlineStr"/>
    </row>
    <row r="358">
      <c r="A358" s="9" t="n">
        <v>357</v>
      </c>
      <c r="B358" s="58" t="n">
        <v>46229</v>
      </c>
      <c r="C358" s="9" t="str">
        <f>TEXT(B358,"yyyy-mm")</f>
        <v>2026-07</v>
      </c>
      <c r="D358" s="9" t="n">
        <v>1</v>
      </c>
      <c r="E358" s="9" t="inlineStr">
        <is>
          <t>18.5.0</t>
        </is>
      </c>
      <c r="F358" s="59" t="inlineStr">
        <is>
          <t>Pathetic service</t>
        </is>
      </c>
      <c r="G358" s="59" t="inlineStr">
        <is>
          <t>Absolutely unprofessional people no value for time if you book service they will cancel last minute with no respond on time won’t recommended</t>
        </is>
      </c>
      <c r="H358" s="9" t="inlineStr">
        <is>
          <t>partner_cancellation</t>
        </is>
      </c>
      <c r="I358" s="9" t="inlineStr">
        <is>
          <t>last_minute_cancel</t>
        </is>
      </c>
      <c r="J358" s="9" t="inlineStr"/>
      <c r="K358" s="9" t="inlineStr">
        <is>
          <t>no</t>
        </is>
      </c>
      <c r="L358" s="9" t="inlineStr">
        <is>
          <t>no</t>
        </is>
      </c>
      <c r="M358" s="9" t="inlineStr">
        <is>
          <t>medium</t>
        </is>
      </c>
      <c r="N358" s="9" t="inlineStr">
        <is>
          <t>no</t>
        </is>
      </c>
      <c r="O358" s="9" t="inlineStr">
        <is>
          <t>unknown</t>
        </is>
      </c>
      <c r="P358" s="9" t="inlineStr"/>
      <c r="Q358" s="9" t="n">
        <v>0</v>
      </c>
      <c r="R358" s="59" t="inlineStr">
        <is>
          <t>if you book service they will cancel last minute with no respond on time won’t recommended</t>
        </is>
      </c>
      <c r="S358" s="9" t="inlineStr">
        <is>
          <t>partner_cancellation</t>
        </is>
      </c>
      <c r="T358" s="9" t="inlineStr">
        <is>
          <t>partner_cancellation</t>
        </is>
      </c>
      <c r="U358" s="59" t="inlineStr"/>
    </row>
    <row r="359">
      <c r="A359" s="9" t="n">
        <v>358</v>
      </c>
      <c r="B359" s="58" t="n">
        <v>46229</v>
      </c>
      <c r="C359" s="9" t="str">
        <f>TEXT(B359,"yyyy-mm")</f>
        <v>2026-07</v>
      </c>
      <c r="D359" s="9" t="n">
        <v>5</v>
      </c>
      <c r="E359" s="9" t="inlineStr">
        <is>
          <t>18.5.0</t>
        </is>
      </c>
      <c r="F359" s="59" t="inlineStr">
        <is>
          <t>❤️❤️</t>
        </is>
      </c>
      <c r="G359" s="59" t="inlineStr">
        <is>
          <t>I’ve had a really good experience , Booking was quick and hassle-free, the service was on time, and everything was smooth from start to finish. The professionals are skilled, polite, and the quality of service is excellent.</t>
        </is>
      </c>
      <c r="H359" s="9" t="inlineStr">
        <is>
          <t>praise</t>
        </is>
      </c>
      <c r="I359" s="9" t="inlineStr">
        <is>
          <t>praise_service</t>
        </is>
      </c>
      <c r="J359" s="9" t="inlineStr"/>
      <c r="K359" s="9" t="inlineStr">
        <is>
          <t>no</t>
        </is>
      </c>
      <c r="L359" s="9" t="inlineStr">
        <is>
          <t>no</t>
        </is>
      </c>
      <c r="M359" s="9" t="inlineStr">
        <is>
          <t>none</t>
        </is>
      </c>
      <c r="N359" s="9" t="inlineStr">
        <is>
          <t>no</t>
        </is>
      </c>
      <c r="O359" s="9" t="inlineStr">
        <is>
          <t>unknown</t>
        </is>
      </c>
      <c r="P359" s="9" t="inlineStr"/>
      <c r="Q359" s="9" t="n">
        <v>0</v>
      </c>
      <c r="R359" s="59" t="inlineStr">
        <is>
          <t>Booking was quick and hassle-free, the service was on time, and everything was smooth from start to finish.</t>
        </is>
      </c>
      <c r="S359" s="9" t="inlineStr">
        <is>
          <t>praise</t>
        </is>
      </c>
      <c r="T359" s="9" t="inlineStr">
        <is>
          <t>praise</t>
        </is>
      </c>
      <c r="U359" s="59" t="inlineStr"/>
    </row>
    <row r="360">
      <c r="A360" s="9" t="n">
        <v>359</v>
      </c>
      <c r="B360" s="58" t="n">
        <v>46229</v>
      </c>
      <c r="C360" s="9" t="str">
        <f>TEXT(B360,"yyyy-mm")</f>
        <v>2026-07</v>
      </c>
      <c r="D360" s="9" t="n">
        <v>5</v>
      </c>
      <c r="E360" s="9" t="inlineStr">
        <is>
          <t>18.5.0</t>
        </is>
      </c>
      <c r="F360" s="59" t="inlineStr">
        <is>
          <t>Korean spa package</t>
        </is>
      </c>
      <c r="G360" s="59" t="inlineStr">
        <is>
          <t>Brilliant products with amazing results and amazing service</t>
        </is>
      </c>
      <c r="H360" s="9" t="inlineStr">
        <is>
          <t>praise</t>
        </is>
      </c>
      <c r="I360" s="9" t="inlineStr">
        <is>
          <t>praise_service</t>
        </is>
      </c>
      <c r="J360" s="9" t="inlineStr"/>
      <c r="K360" s="9" t="inlineStr">
        <is>
          <t>no</t>
        </is>
      </c>
      <c r="L360" s="9" t="inlineStr">
        <is>
          <t>no</t>
        </is>
      </c>
      <c r="M360" s="9" t="inlineStr">
        <is>
          <t>none</t>
        </is>
      </c>
      <c r="N360" s="9" t="inlineStr">
        <is>
          <t>no</t>
        </is>
      </c>
      <c r="O360" s="9" t="inlineStr">
        <is>
          <t>massage_spa</t>
        </is>
      </c>
      <c r="P360" s="9" t="inlineStr"/>
      <c r="Q360" s="9" t="n">
        <v>0</v>
      </c>
      <c r="R360" s="59" t="inlineStr">
        <is>
          <t>Brilliant products with amazing results and amazing service</t>
        </is>
      </c>
      <c r="S360" s="9" t="inlineStr">
        <is>
          <t>praise</t>
        </is>
      </c>
      <c r="T360" s="9" t="inlineStr">
        <is>
          <t>praise</t>
        </is>
      </c>
      <c r="U360" s="59" t="inlineStr"/>
    </row>
    <row r="361">
      <c r="A361" s="9" t="n">
        <v>360</v>
      </c>
      <c r="B361" s="58" t="n">
        <v>46229</v>
      </c>
      <c r="C361" s="9" t="str">
        <f>TEXT(B361,"yyyy-mm")</f>
        <v>2026-07</v>
      </c>
      <c r="D361" s="9" t="n">
        <v>5</v>
      </c>
      <c r="E361" s="9" t="inlineStr">
        <is>
          <t>18.5.0</t>
        </is>
      </c>
      <c r="F361" s="59" t="inlineStr">
        <is>
          <t>Great</t>
        </is>
      </c>
      <c r="G361" s="59" t="inlineStr">
        <is>
          <t>Very nice services</t>
        </is>
      </c>
      <c r="H361" s="9" t="inlineStr">
        <is>
          <t>praise</t>
        </is>
      </c>
      <c r="I361" s="9" t="inlineStr">
        <is>
          <t>praise_service</t>
        </is>
      </c>
      <c r="J361" s="9" t="inlineStr"/>
      <c r="K361" s="9" t="inlineStr">
        <is>
          <t>no</t>
        </is>
      </c>
      <c r="L361" s="9" t="inlineStr">
        <is>
          <t>no</t>
        </is>
      </c>
      <c r="M361" s="9" t="inlineStr">
        <is>
          <t>none</t>
        </is>
      </c>
      <c r="N361" s="9" t="inlineStr">
        <is>
          <t>no</t>
        </is>
      </c>
      <c r="O361" s="9" t="inlineStr">
        <is>
          <t>unknown</t>
        </is>
      </c>
      <c r="P361" s="9" t="inlineStr"/>
      <c r="Q361" s="9" t="n">
        <v>0</v>
      </c>
      <c r="R361" s="59" t="inlineStr">
        <is>
          <t>Very nice services</t>
        </is>
      </c>
      <c r="S361" s="9" t="inlineStr">
        <is>
          <t>praise</t>
        </is>
      </c>
      <c r="T361" s="9" t="inlineStr">
        <is>
          <t>praise</t>
        </is>
      </c>
      <c r="U361" s="59" t="inlineStr"/>
    </row>
    <row r="362">
      <c r="A362" s="9" t="n">
        <v>361</v>
      </c>
      <c r="B362" s="58" t="n">
        <v>46229</v>
      </c>
      <c r="C362" s="9" t="str">
        <f>TEXT(B362,"yyyy-mm")</f>
        <v>2026-07</v>
      </c>
      <c r="D362" s="9" t="n">
        <v>5</v>
      </c>
      <c r="E362" s="9" t="inlineStr">
        <is>
          <t>18.5.0</t>
        </is>
      </c>
      <c r="F362" s="59" t="inlineStr">
        <is>
          <t>Hydra facial</t>
        </is>
      </c>
      <c r="G362" s="59" t="inlineStr">
        <is>
          <t>[name] [id] nice service by [name] ,very polite and explained all the step before applying</t>
        </is>
      </c>
      <c r="H362" s="9" t="inlineStr">
        <is>
          <t>praise</t>
        </is>
      </c>
      <c r="I362" s="9" t="inlineStr">
        <is>
          <t>praise_professional</t>
        </is>
      </c>
      <c r="J362" s="9" t="inlineStr"/>
      <c r="K362" s="9" t="inlineStr">
        <is>
          <t>no</t>
        </is>
      </c>
      <c r="L362" s="9" t="inlineStr">
        <is>
          <t>no</t>
        </is>
      </c>
      <c r="M362" s="9" t="inlineStr">
        <is>
          <t>none</t>
        </is>
      </c>
      <c r="N362" s="9" t="inlineStr">
        <is>
          <t>no</t>
        </is>
      </c>
      <c r="O362" s="9" t="inlineStr">
        <is>
          <t>facial_cleanup</t>
        </is>
      </c>
      <c r="P362" s="9" t="inlineStr"/>
      <c r="Q362" s="9" t="n">
        <v>0</v>
      </c>
      <c r="R362" s="59" t="inlineStr">
        <is>
          <t>[name] [id] nice service by [name] ,very polite and explained all the step before applying</t>
        </is>
      </c>
      <c r="S362" s="9" t="inlineStr">
        <is>
          <t>praise</t>
        </is>
      </c>
      <c r="T362" s="9" t="inlineStr">
        <is>
          <t>praise</t>
        </is>
      </c>
      <c r="U362" s="59" t="inlineStr"/>
    </row>
    <row r="363">
      <c r="A363" s="9" t="n">
        <v>362</v>
      </c>
      <c r="B363" s="58" t="n">
        <v>46228</v>
      </c>
      <c r="C363" s="9" t="str">
        <f>TEXT(B363,"yyyy-mm")</f>
        <v>2026-07</v>
      </c>
      <c r="D363" s="9" t="n">
        <v>1</v>
      </c>
      <c r="E363" s="9" t="inlineStr">
        <is>
          <t>18.5.0</t>
        </is>
      </c>
      <c r="F363" s="59" t="inlineStr">
        <is>
          <t>SCAM APP</t>
        </is>
      </c>
      <c r="G363" s="59" t="inlineStr">
        <is>
          <t>It’s a scam, don’t get trapped into their offers &amp; services- first they take your booking then the professional contacts you &amp; pleads you to either adjust or cancel the booking as they are either stuck with the previous booking or have something else to take care of then you are stuck in cycle of contacting the customer care. Icing on the cake - the solution ma’am please reschedule - we do prior booking so that things are aligned as per our schedule. However, they make sure that we pay for services as per their schedule - what a convenience &amp; quality of services.</t>
        </is>
      </c>
      <c r="H363" s="9" t="inlineStr">
        <is>
          <t>partner_cancellation</t>
        </is>
      </c>
      <c r="I363" s="9" t="inlineStr">
        <is>
          <t>last_minute_cancel</t>
        </is>
      </c>
      <c r="J363" s="9" t="inlineStr">
        <is>
          <t>support</t>
        </is>
      </c>
      <c r="K363" s="9" t="inlineStr">
        <is>
          <t>yes</t>
        </is>
      </c>
      <c r="L363" s="9" t="inlineStr">
        <is>
          <t>yes</t>
        </is>
      </c>
      <c r="M363" s="9" t="inlineStr">
        <is>
          <t>medium</t>
        </is>
      </c>
      <c r="N363" s="9" t="inlineStr">
        <is>
          <t>no</t>
        </is>
      </c>
      <c r="O363" s="9" t="inlineStr">
        <is>
          <t>unknown</t>
        </is>
      </c>
      <c r="P363" s="9" t="inlineStr"/>
      <c r="Q363" s="9" t="n">
        <v>0</v>
      </c>
      <c r="R363" s="59" t="inlineStr">
        <is>
          <t>the professional contacts you &amp; pleads you to either adjust or cancel the booking as they are either stuck with the previous booking</t>
        </is>
      </c>
      <c r="S363" s="9" t="inlineStr">
        <is>
          <t>partner_cancellation</t>
        </is>
      </c>
      <c r="T363" s="9" t="inlineStr">
        <is>
          <t>partner_cancellation</t>
        </is>
      </c>
      <c r="U363" s="59" t="inlineStr"/>
    </row>
    <row r="364">
      <c r="A364" s="9" t="n">
        <v>363</v>
      </c>
      <c r="B364" s="58" t="n">
        <v>46227</v>
      </c>
      <c r="C364" s="9" t="str">
        <f>TEXT(B364,"yyyy-mm")</f>
        <v>2026-07</v>
      </c>
      <c r="D364" s="9" t="n">
        <v>1</v>
      </c>
      <c r="E364" s="9" t="inlineStr">
        <is>
          <t>18.5.0</t>
        </is>
      </c>
      <c r="F364" s="59" t="inlineStr">
        <is>
          <t>Bad service</t>
        </is>
      </c>
      <c r="G364" s="59" t="inlineStr">
        <is>
          <t>Purely bad service ! I have given 3 to 4 chances and all the services and the app is just not good! My suggestion book from urban company cause this is just not good</t>
        </is>
      </c>
      <c r="H364" s="9" t="inlineStr">
        <is>
          <t>other</t>
        </is>
      </c>
      <c r="I364" s="9" t="inlineStr">
        <is>
          <t>unclear</t>
        </is>
      </c>
      <c r="J364" s="9" t="inlineStr">
        <is>
          <t>app</t>
        </is>
      </c>
      <c r="K364" s="9" t="inlineStr">
        <is>
          <t>no</t>
        </is>
      </c>
      <c r="L364" s="9" t="inlineStr">
        <is>
          <t>no</t>
        </is>
      </c>
      <c r="M364" s="9" t="inlineStr">
        <is>
          <t>low</t>
        </is>
      </c>
      <c r="N364" s="9" t="inlineStr">
        <is>
          <t>yes</t>
        </is>
      </c>
      <c r="O364" s="9" t="inlineStr">
        <is>
          <t>unknown</t>
        </is>
      </c>
      <c r="P364" s="9" t="inlineStr"/>
      <c r="Q364" s="9" t="n">
        <v>0</v>
      </c>
      <c r="R364" s="59" t="inlineStr">
        <is>
          <t>I have given 3 to 4 chances and all the services and the app is just not good! My suggestion book from urban company</t>
        </is>
      </c>
      <c r="S364" s="9" t="inlineStr">
        <is>
          <t>other</t>
        </is>
      </c>
      <c r="T364" s="9" t="inlineStr">
        <is>
          <t>other</t>
        </is>
      </c>
      <c r="U364" s="59" t="inlineStr"/>
    </row>
    <row r="365">
      <c r="A365" s="9" t="n">
        <v>364</v>
      </c>
      <c r="B365" s="58" t="n">
        <v>46227</v>
      </c>
      <c r="C365" s="9" t="str">
        <f>TEXT(B365,"yyyy-mm")</f>
        <v>2026-07</v>
      </c>
      <c r="D365" s="9" t="n">
        <v>1</v>
      </c>
      <c r="E365" s="9" t="inlineStr">
        <is>
          <t>18.5.0</t>
        </is>
      </c>
      <c r="F365" s="59" t="inlineStr">
        <is>
          <t>Worst product they use</t>
        </is>
      </c>
      <c r="G365" s="59" t="inlineStr">
        <is>
          <t>I friends I recently had a Korean wax from yes madam and just after few hours of wax I noticed rashes over my waxed area ,now it’s been 4days and I’m having severe infection and allergy from their product and service they provide,
Non-hygienic,poor quality product or I can say expire and used product.
I’m in such a condition I am going to sue them for their services and product they use.</t>
        </is>
      </c>
      <c r="H365" s="9" t="inlineStr">
        <is>
          <t>product_fit</t>
        </is>
      </c>
      <c r="I365" s="9" t="inlineStr">
        <is>
          <t>product_reaction</t>
        </is>
      </c>
      <c r="J365" s="9" t="inlineStr">
        <is>
          <t>service_quality</t>
        </is>
      </c>
      <c r="K365" s="9" t="inlineStr">
        <is>
          <t>no</t>
        </is>
      </c>
      <c r="L365" s="9" t="inlineStr">
        <is>
          <t>no</t>
        </is>
      </c>
      <c r="M365" s="9" t="inlineStr">
        <is>
          <t>high</t>
        </is>
      </c>
      <c r="N365" s="9" t="inlineStr">
        <is>
          <t>no</t>
        </is>
      </c>
      <c r="O365" s="9" t="inlineStr">
        <is>
          <t>waxing</t>
        </is>
      </c>
      <c r="P365" s="9" t="inlineStr"/>
      <c r="Q365" s="9" t="n">
        <v>0</v>
      </c>
      <c r="R365" s="59" t="inlineStr">
        <is>
          <t>I noticed rashes over my waxed area ,now it’s been 4days and I’m having severe infection and allergy from their product</t>
        </is>
      </c>
      <c r="S365" s="9" t="inlineStr">
        <is>
          <t>product_fit</t>
        </is>
      </c>
      <c r="T365" s="9" t="inlineStr">
        <is>
          <t>product_fit</t>
        </is>
      </c>
      <c r="U365" s="59" t="inlineStr"/>
    </row>
    <row r="366">
      <c r="A366" s="9" t="n">
        <v>365</v>
      </c>
      <c r="B366" s="58" t="n">
        <v>46227</v>
      </c>
      <c r="C366" s="9" t="str">
        <f>TEXT(B366,"yyyy-mm")</f>
        <v>2026-07</v>
      </c>
      <c r="D366" s="9" t="n">
        <v>3</v>
      </c>
      <c r="E366" s="9" t="inlineStr">
        <is>
          <t>18.5.0</t>
        </is>
      </c>
      <c r="F366" s="59" t="inlineStr">
        <is>
          <t>Product missing</t>
        </is>
      </c>
      <c r="G366" s="59" t="inlineStr">
        <is>
          <t>Product was out of stock which I ordered</t>
        </is>
      </c>
      <c r="H366" s="9" t="inlineStr">
        <is>
          <t>product_fit</t>
        </is>
      </c>
      <c r="I366" s="9" t="inlineStr">
        <is>
          <t>missing_or_wrong_products</t>
        </is>
      </c>
      <c r="J366" s="9" t="inlineStr"/>
      <c r="K366" s="9" t="inlineStr">
        <is>
          <t>no</t>
        </is>
      </c>
      <c r="L366" s="9" t="inlineStr">
        <is>
          <t>no</t>
        </is>
      </c>
      <c r="M366" s="9" t="inlineStr">
        <is>
          <t>low</t>
        </is>
      </c>
      <c r="N366" s="9" t="inlineStr">
        <is>
          <t>no</t>
        </is>
      </c>
      <c r="O366" s="9" t="inlineStr">
        <is>
          <t>unknown</t>
        </is>
      </c>
      <c r="P366" s="9" t="inlineStr"/>
      <c r="Q366" s="9" t="n">
        <v>0</v>
      </c>
      <c r="R366" s="59" t="inlineStr">
        <is>
          <t>Product was out of stock which I ordered</t>
        </is>
      </c>
      <c r="S366" s="9" t="inlineStr">
        <is>
          <t>product_fit</t>
        </is>
      </c>
      <c r="T366" s="9" t="inlineStr">
        <is>
          <t>product_fit</t>
        </is>
      </c>
      <c r="U366" s="59" t="inlineStr"/>
    </row>
    <row r="367">
      <c r="A367" s="9" t="n">
        <v>366</v>
      </c>
      <c r="B367" s="58" t="n">
        <v>46226</v>
      </c>
      <c r="C367" s="9" t="str">
        <f>TEXT(B367,"yyyy-mm")</f>
        <v>2026-07</v>
      </c>
      <c r="D367" s="9" t="n">
        <v>1</v>
      </c>
      <c r="E367" s="9" t="inlineStr">
        <is>
          <t>18.5.0</t>
        </is>
      </c>
      <c r="F367" s="59" t="inlineStr">
        <is>
          <t>Worst service ever. Never booking from Yes Madam again</t>
        </is>
      </c>
      <c r="G367" s="59" t="inlineStr">
        <is>
          <t>I booked a wax and facial service today, and it turned out to be one of the worst salon experiences I’ve ever had.
The wax felt unusual. It became sticky and was very difficult to remove, making the entire waxing session extremely painful. Instead of coming off smoothly, she had to keep pulling repeatedly, which caused unnecessary pain. I also noticed wired particles left on my hands afterward, which made me question the quality and authenticity of the wax that was used.
The facial was even more disappointing. Soon after the service, my face started itching badly, and even my hands are itching. I’ve never experienced this kind of reaction after a facial before, which makes me genuinely concerned about the quality of the products that were used.
Overall, this was a terrible experience. I regret booking with Yes Madam and will never use their services again. Based on my experience, I would strongly recommend choosing Urban Company instead</t>
        </is>
      </c>
      <c r="H367" s="9" t="inlineStr">
        <is>
          <t>product_fit</t>
        </is>
      </c>
      <c r="I367" s="9" t="inlineStr">
        <is>
          <t>product_reaction</t>
        </is>
      </c>
      <c r="J367" s="9" t="inlineStr"/>
      <c r="K367" s="9" t="inlineStr">
        <is>
          <t>no</t>
        </is>
      </c>
      <c r="L367" s="9" t="inlineStr">
        <is>
          <t>no</t>
        </is>
      </c>
      <c r="M367" s="9" t="inlineStr">
        <is>
          <t>high</t>
        </is>
      </c>
      <c r="N367" s="9" t="inlineStr">
        <is>
          <t>yes</t>
        </is>
      </c>
      <c r="O367" s="9" t="inlineStr">
        <is>
          <t>multiple</t>
        </is>
      </c>
      <c r="P367" s="9" t="inlineStr"/>
      <c r="Q367" s="9" t="n">
        <v>0</v>
      </c>
      <c r="R367" s="59" t="inlineStr">
        <is>
          <t>my face started itching badly, and even my hands are itching. I’ve never experienced this kind of reaction after a facial before</t>
        </is>
      </c>
      <c r="S367" s="9" t="inlineStr">
        <is>
          <t>product_fit</t>
        </is>
      </c>
      <c r="T367" s="9" t="inlineStr">
        <is>
          <t>product_fit</t>
        </is>
      </c>
      <c r="U367" s="59" t="inlineStr"/>
    </row>
    <row r="368">
      <c r="A368" s="9" t="n">
        <v>367</v>
      </c>
      <c r="B368" s="58" t="n">
        <v>46226</v>
      </c>
      <c r="C368" s="9" t="str">
        <f>TEXT(B368,"yyyy-mm")</f>
        <v>2026-07</v>
      </c>
      <c r="D368" s="9" t="n">
        <v>1</v>
      </c>
      <c r="E368" s="9" t="inlineStr">
        <is>
          <t>18.5.0</t>
        </is>
      </c>
      <c r="F368" s="59" t="inlineStr">
        <is>
          <t>Scam</t>
        </is>
      </c>
      <c r="G368" s="59" t="inlineStr">
        <is>
          <t>Scammers, please dont use this app</t>
        </is>
      </c>
      <c r="H368" s="9" t="inlineStr">
        <is>
          <t>other</t>
        </is>
      </c>
      <c r="I368" s="9" t="inlineStr">
        <is>
          <t>unclear</t>
        </is>
      </c>
      <c r="J368" s="9" t="inlineStr"/>
      <c r="K368" s="9" t="inlineStr">
        <is>
          <t>no</t>
        </is>
      </c>
      <c r="L368" s="9" t="inlineStr">
        <is>
          <t>no</t>
        </is>
      </c>
      <c r="M368" s="9" t="inlineStr">
        <is>
          <t>low</t>
        </is>
      </c>
      <c r="N368" s="9" t="inlineStr">
        <is>
          <t>no</t>
        </is>
      </c>
      <c r="O368" s="9" t="inlineStr">
        <is>
          <t>unknown</t>
        </is>
      </c>
      <c r="P368" s="9" t="inlineStr"/>
      <c r="Q368" s="9" t="n">
        <v>0</v>
      </c>
      <c r="R368" s="59" t="inlineStr">
        <is>
          <t>Scammers, please dont use this app</t>
        </is>
      </c>
      <c r="S368" s="9" t="inlineStr">
        <is>
          <t>other</t>
        </is>
      </c>
      <c r="T368" s="9" t="inlineStr">
        <is>
          <t>other</t>
        </is>
      </c>
      <c r="U368" s="59" t="inlineStr"/>
    </row>
    <row r="369">
      <c r="A369" s="9" t="n">
        <v>368</v>
      </c>
      <c r="B369" s="58" t="n">
        <v>46226</v>
      </c>
      <c r="C369" s="9" t="str">
        <f>TEXT(B369,"yyyy-mm")</f>
        <v>2026-07</v>
      </c>
      <c r="D369" s="9" t="n">
        <v>5</v>
      </c>
      <c r="E369" s="9" t="inlineStr">
        <is>
          <t>18.5.0</t>
        </is>
      </c>
      <c r="F369" s="59" t="inlineStr">
        <is>
          <t>Well grooming app</t>
        </is>
      </c>
      <c r="G369" s="59" t="inlineStr">
        <is>
          <t>Its so convenient app i love this app because of professional service maker &amp; charges is also reasonable</t>
        </is>
      </c>
      <c r="H369" s="9" t="inlineStr">
        <is>
          <t>praise</t>
        </is>
      </c>
      <c r="I369" s="9" t="inlineStr">
        <is>
          <t>praise_value</t>
        </is>
      </c>
      <c r="J369" s="9" t="inlineStr"/>
      <c r="K369" s="9" t="inlineStr">
        <is>
          <t>no</t>
        </is>
      </c>
      <c r="L369" s="9" t="inlineStr">
        <is>
          <t>no</t>
        </is>
      </c>
      <c r="M369" s="9" t="inlineStr">
        <is>
          <t>none</t>
        </is>
      </c>
      <c r="N369" s="9" t="inlineStr">
        <is>
          <t>no</t>
        </is>
      </c>
      <c r="O369" s="9" t="inlineStr">
        <is>
          <t>unknown</t>
        </is>
      </c>
      <c r="P369" s="9" t="inlineStr"/>
      <c r="Q369" s="9" t="n">
        <v>0</v>
      </c>
      <c r="R369" s="59" t="inlineStr">
        <is>
          <t>Its so convenient app i love this app because of professional service maker &amp; charges is also reasonable</t>
        </is>
      </c>
      <c r="S369" s="9" t="inlineStr">
        <is>
          <t>praise</t>
        </is>
      </c>
      <c r="T369" s="9" t="inlineStr">
        <is>
          <t>praise</t>
        </is>
      </c>
      <c r="U369" s="59" t="inlineStr"/>
    </row>
    <row r="370">
      <c r="A370" s="9" t="n">
        <v>369</v>
      </c>
      <c r="B370" s="58" t="n">
        <v>46226</v>
      </c>
      <c r="C370" s="9" t="str">
        <f>TEXT(B370,"yyyy-mm")</f>
        <v>2026-07</v>
      </c>
      <c r="D370" s="9" t="n">
        <v>1</v>
      </c>
      <c r="E370" s="9" t="inlineStr">
        <is>
          <t>18.5.0</t>
        </is>
      </c>
      <c r="F370" s="59" t="inlineStr">
        <is>
          <t>False marketing</t>
        </is>
      </c>
      <c r="G370" s="59" t="inlineStr">
        <is>
          <t>False marketing on whatsapp.</t>
        </is>
      </c>
      <c r="H370" s="9" t="inlineStr">
        <is>
          <t>price_clarity</t>
        </is>
      </c>
      <c r="I370" s="9" t="inlineStr">
        <is>
          <t>offer_not_honoured</t>
        </is>
      </c>
      <c r="J370" s="9" t="inlineStr"/>
      <c r="K370" s="9" t="inlineStr">
        <is>
          <t>no</t>
        </is>
      </c>
      <c r="L370" s="9" t="inlineStr">
        <is>
          <t>no</t>
        </is>
      </c>
      <c r="M370" s="9" t="inlineStr">
        <is>
          <t>low</t>
        </is>
      </c>
      <c r="N370" s="9" t="inlineStr">
        <is>
          <t>no</t>
        </is>
      </c>
      <c r="O370" s="9" t="inlineStr">
        <is>
          <t>unknown</t>
        </is>
      </c>
      <c r="P370" s="9" t="inlineStr"/>
      <c r="Q370" s="9" t="n">
        <v>0</v>
      </c>
      <c r="R370" s="59" t="inlineStr">
        <is>
          <t>False marketing on whatsapp.</t>
        </is>
      </c>
      <c r="S370" s="9" t="inlineStr">
        <is>
          <t>price_clarity</t>
        </is>
      </c>
      <c r="T370" s="9" t="inlineStr">
        <is>
          <t>price_clarity</t>
        </is>
      </c>
      <c r="U370" s="59" t="inlineStr"/>
    </row>
    <row r="371">
      <c r="A371" s="9" t="n">
        <v>370</v>
      </c>
      <c r="B371" s="58" t="n">
        <v>46226</v>
      </c>
      <c r="C371" s="9" t="str">
        <f>TEXT(B371,"yyyy-mm")</f>
        <v>2026-07</v>
      </c>
      <c r="D371" s="9" t="n">
        <v>5</v>
      </c>
      <c r="E371" s="9" t="inlineStr">
        <is>
          <t>18.5.0</t>
        </is>
      </c>
      <c r="F371" s="59" t="inlineStr">
        <is>
          <t>Excellent</t>
        </is>
      </c>
      <c r="G371" s="59" t="inlineStr">
        <is>
          <t>[name]</t>
        </is>
      </c>
      <c r="H371" s="9" t="inlineStr">
        <is>
          <t>praise</t>
        </is>
      </c>
      <c r="I371" s="9" t="inlineStr">
        <is>
          <t>praise_service</t>
        </is>
      </c>
      <c r="J371" s="9" t="inlineStr"/>
      <c r="K371" s="9" t="inlineStr">
        <is>
          <t>no</t>
        </is>
      </c>
      <c r="L371" s="9" t="inlineStr">
        <is>
          <t>no</t>
        </is>
      </c>
      <c r="M371" s="9" t="inlineStr">
        <is>
          <t>none</t>
        </is>
      </c>
      <c r="N371" s="9" t="inlineStr">
        <is>
          <t>no</t>
        </is>
      </c>
      <c r="O371" s="9" t="inlineStr">
        <is>
          <t>unknown</t>
        </is>
      </c>
      <c r="P371" s="9" t="inlineStr"/>
      <c r="Q371" s="9" t="n">
        <v>0</v>
      </c>
      <c r="R371" s="59" t="inlineStr">
        <is>
          <t>Excellent</t>
        </is>
      </c>
      <c r="S371" s="9" t="inlineStr">
        <is>
          <t>praise</t>
        </is>
      </c>
      <c r="T371" s="9" t="inlineStr">
        <is>
          <t>praise</t>
        </is>
      </c>
      <c r="U371" s="59" t="inlineStr"/>
    </row>
    <row r="372">
      <c r="A372" s="9" t="n">
        <v>371</v>
      </c>
      <c r="B372" s="58" t="n">
        <v>46226</v>
      </c>
      <c r="C372" s="9" t="str">
        <f>TEXT(B372,"yyyy-mm")</f>
        <v>2026-07</v>
      </c>
      <c r="D372" s="9" t="n">
        <v>3</v>
      </c>
      <c r="E372" s="9" t="inlineStr">
        <is>
          <t>18.5.0</t>
        </is>
      </c>
      <c r="F372" s="59" t="inlineStr">
        <is>
          <t>Price</t>
        </is>
      </c>
      <c r="G372" s="59" t="inlineStr">
        <is>
          <t>Too costly</t>
        </is>
      </c>
      <c r="H372" s="9" t="inlineStr">
        <is>
          <t>other</t>
        </is>
      </c>
      <c r="I372" s="9" t="inlineStr">
        <is>
          <t>other_issue</t>
        </is>
      </c>
      <c r="J372" s="9" t="inlineStr"/>
      <c r="K372" s="9" t="inlineStr">
        <is>
          <t>no</t>
        </is>
      </c>
      <c r="L372" s="9" t="inlineStr">
        <is>
          <t>no</t>
        </is>
      </c>
      <c r="M372" s="9" t="inlineStr">
        <is>
          <t>low</t>
        </is>
      </c>
      <c r="N372" s="9" t="inlineStr">
        <is>
          <t>no</t>
        </is>
      </c>
      <c r="O372" s="9" t="inlineStr">
        <is>
          <t>unknown</t>
        </is>
      </c>
      <c r="P372" s="9" t="inlineStr"/>
      <c r="Q372" s="9" t="n">
        <v>0</v>
      </c>
      <c r="R372" s="59" t="inlineStr">
        <is>
          <t>Too costly</t>
        </is>
      </c>
      <c r="S372" s="9" t="inlineStr">
        <is>
          <t>other</t>
        </is>
      </c>
      <c r="T372" s="9" t="inlineStr">
        <is>
          <t>other</t>
        </is>
      </c>
      <c r="U372" s="59" t="inlineStr"/>
    </row>
    <row r="373">
      <c r="A373" s="9" t="n">
        <v>372</v>
      </c>
      <c r="B373" s="58" t="n">
        <v>46225</v>
      </c>
      <c r="C373" s="9" t="str">
        <f>TEXT(B373,"yyyy-mm")</f>
        <v>2026-07</v>
      </c>
      <c r="D373" s="9" t="n">
        <v>3</v>
      </c>
      <c r="E373" s="9" t="inlineStr">
        <is>
          <t>18.5.0</t>
        </is>
      </c>
      <c r="F373" s="59" t="inlineStr">
        <is>
          <t>Nose wax</t>
        </is>
      </c>
      <c r="G373" s="59" t="inlineStr">
        <is>
          <t>Nose wax add in the services</t>
        </is>
      </c>
      <c r="H373" s="9" t="inlineStr">
        <is>
          <t>other</t>
        </is>
      </c>
      <c r="I373" s="9" t="inlineStr">
        <is>
          <t>other_issue</t>
        </is>
      </c>
      <c r="J373" s="9" t="inlineStr"/>
      <c r="K373" s="9" t="inlineStr">
        <is>
          <t>no</t>
        </is>
      </c>
      <c r="L373" s="9" t="inlineStr">
        <is>
          <t>no</t>
        </is>
      </c>
      <c r="M373" s="9" t="inlineStr">
        <is>
          <t>low</t>
        </is>
      </c>
      <c r="N373" s="9" t="inlineStr">
        <is>
          <t>no</t>
        </is>
      </c>
      <c r="O373" s="9" t="inlineStr">
        <is>
          <t>waxing</t>
        </is>
      </c>
      <c r="P373" s="9" t="inlineStr"/>
      <c r="Q373" s="9" t="n">
        <v>0</v>
      </c>
      <c r="R373" s="59" t="inlineStr">
        <is>
          <t>Nose wax add in the services</t>
        </is>
      </c>
      <c r="S373" s="9" t="inlineStr">
        <is>
          <t>other</t>
        </is>
      </c>
      <c r="T373" s="9" t="inlineStr">
        <is>
          <t>other</t>
        </is>
      </c>
      <c r="U373" s="59" t="inlineStr"/>
    </row>
    <row r="374">
      <c r="A374" s="9" t="n">
        <v>373</v>
      </c>
      <c r="B374" s="58" t="n">
        <v>46224</v>
      </c>
      <c r="C374" s="9" t="str">
        <f>TEXT(B374,"yyyy-mm")</f>
        <v>2026-07</v>
      </c>
      <c r="D374" s="9" t="n">
        <v>5</v>
      </c>
      <c r="E374" s="9" t="inlineStr">
        <is>
          <t>18.5.0</t>
        </is>
      </c>
      <c r="F374" s="59" t="inlineStr">
        <is>
          <t>Review [name]</t>
        </is>
      </c>
      <c r="G374" s="59" t="inlineStr">
        <is>
          <t>Nice service,[name] is doing very well job done .she is very polite and  professional , her work is very very good .</t>
        </is>
      </c>
      <c r="H374" s="9" t="inlineStr">
        <is>
          <t>praise</t>
        </is>
      </c>
      <c r="I374" s="9" t="inlineStr">
        <is>
          <t>praise_professional</t>
        </is>
      </c>
      <c r="J374" s="9" t="inlineStr"/>
      <c r="K374" s="9" t="inlineStr">
        <is>
          <t>no</t>
        </is>
      </c>
      <c r="L374" s="9" t="inlineStr">
        <is>
          <t>no</t>
        </is>
      </c>
      <c r="M374" s="9" t="inlineStr">
        <is>
          <t>none</t>
        </is>
      </c>
      <c r="N374" s="9" t="inlineStr">
        <is>
          <t>no</t>
        </is>
      </c>
      <c r="O374" s="9" t="inlineStr">
        <is>
          <t>unknown</t>
        </is>
      </c>
      <c r="P374" s="9" t="inlineStr"/>
      <c r="Q374" s="9" t="n">
        <v>0</v>
      </c>
      <c r="R374" s="59" t="inlineStr">
        <is>
          <t>Nice service,[name] is doing very well job done .she is very polite and  professional</t>
        </is>
      </c>
      <c r="S374" s="9" t="inlineStr">
        <is>
          <t>praise</t>
        </is>
      </c>
      <c r="T374" s="9" t="inlineStr">
        <is>
          <t>praise</t>
        </is>
      </c>
      <c r="U374" s="59" t="inlineStr"/>
    </row>
    <row r="375">
      <c r="A375" s="9" t="n">
        <v>374</v>
      </c>
      <c r="B375" s="58" t="n">
        <v>46224</v>
      </c>
      <c r="C375" s="9" t="str">
        <f>TEXT(B375,"yyyy-mm")</f>
        <v>2026-07</v>
      </c>
      <c r="D375" s="9" t="n">
        <v>5</v>
      </c>
      <c r="E375" s="9" t="inlineStr">
        <is>
          <t>18.5.0</t>
        </is>
      </c>
      <c r="F375" s="59" t="inlineStr">
        <is>
          <t>Excellent service</t>
        </is>
      </c>
      <c r="G375" s="59" t="inlineStr">
        <is>
          <t>[name] is very well trained and professional ,knowledgable beautician yes madam have.I am happy with the rates as well and politeness,service given,hygiene maintained by your staff-[name].yes, if such a skilled staff yes madam have then no one can beat the company future success</t>
        </is>
      </c>
      <c r="H375" s="9" t="inlineStr">
        <is>
          <t>praise</t>
        </is>
      </c>
      <c r="I375" s="9" t="inlineStr">
        <is>
          <t>praise_professional</t>
        </is>
      </c>
      <c r="J375" s="9" t="inlineStr"/>
      <c r="K375" s="9" t="inlineStr">
        <is>
          <t>no</t>
        </is>
      </c>
      <c r="L375" s="9" t="inlineStr">
        <is>
          <t>no</t>
        </is>
      </c>
      <c r="M375" s="9" t="inlineStr">
        <is>
          <t>none</t>
        </is>
      </c>
      <c r="N375" s="9" t="inlineStr">
        <is>
          <t>no</t>
        </is>
      </c>
      <c r="O375" s="9" t="inlineStr">
        <is>
          <t>unknown</t>
        </is>
      </c>
      <c r="P375" s="9" t="inlineStr"/>
      <c r="Q375" s="9" t="n">
        <v>0</v>
      </c>
      <c r="R375" s="59" t="inlineStr">
        <is>
          <t>[name] is very well trained and professional ,knowledgable beautician yes madam have.I am happy with the rates as well</t>
        </is>
      </c>
      <c r="S375" s="9" t="inlineStr">
        <is>
          <t>praise</t>
        </is>
      </c>
      <c r="T375" s="9" t="inlineStr">
        <is>
          <t>praise</t>
        </is>
      </c>
      <c r="U375" s="59" t="inlineStr"/>
    </row>
    <row r="376">
      <c r="A376" s="9" t="n">
        <v>375</v>
      </c>
      <c r="B376" s="58" t="n">
        <v>46224</v>
      </c>
      <c r="C376" s="9" t="str">
        <f>TEXT(B376,"yyyy-mm")</f>
        <v>2026-07</v>
      </c>
      <c r="D376" s="9" t="n">
        <v>5</v>
      </c>
      <c r="E376" s="9" t="inlineStr">
        <is>
          <t>18.5.0</t>
        </is>
      </c>
      <c r="F376" s="59" t="inlineStr">
        <is>
          <t>Hydra</t>
        </is>
      </c>
      <c r="G376" s="59" t="inlineStr">
        <is>
          <t>Amazing facial! My skin has never felt so soft and radiant. Professional service and a very relaxing experience. Highly recommend [name]. Thank you.</t>
        </is>
      </c>
      <c r="H376" s="9" t="inlineStr">
        <is>
          <t>praise</t>
        </is>
      </c>
      <c r="I376" s="9" t="inlineStr">
        <is>
          <t>praise_professional</t>
        </is>
      </c>
      <c r="J376" s="9" t="inlineStr"/>
      <c r="K376" s="9" t="inlineStr">
        <is>
          <t>no</t>
        </is>
      </c>
      <c r="L376" s="9" t="inlineStr">
        <is>
          <t>no</t>
        </is>
      </c>
      <c r="M376" s="9" t="inlineStr">
        <is>
          <t>none</t>
        </is>
      </c>
      <c r="N376" s="9" t="inlineStr">
        <is>
          <t>no</t>
        </is>
      </c>
      <c r="O376" s="9" t="inlineStr">
        <is>
          <t>facial_cleanup</t>
        </is>
      </c>
      <c r="P376" s="9" t="inlineStr"/>
      <c r="Q376" s="9" t="n">
        <v>0</v>
      </c>
      <c r="R376" s="59" t="inlineStr">
        <is>
          <t>Amazing facial! My skin has never felt so soft and radiant. Professional service and a very relaxing experience.</t>
        </is>
      </c>
      <c r="S376" s="9" t="inlineStr">
        <is>
          <t>praise</t>
        </is>
      </c>
      <c r="T376" s="9" t="inlineStr">
        <is>
          <t>praise</t>
        </is>
      </c>
      <c r="U376" s="59" t="inlineStr"/>
    </row>
    <row r="377">
      <c r="A377" s="9" t="n">
        <v>376</v>
      </c>
      <c r="B377" s="58" t="n">
        <v>46224</v>
      </c>
      <c r="C377" s="9" t="str">
        <f>TEXT(B377,"yyyy-mm")</f>
        <v>2026-07</v>
      </c>
      <c r="D377" s="9" t="n">
        <v>5</v>
      </c>
      <c r="E377" s="9" t="inlineStr">
        <is>
          <t>18.5.0</t>
        </is>
      </c>
      <c r="F377" s="59" t="inlineStr">
        <is>
          <t>Best</t>
        </is>
      </c>
      <c r="G377" s="59" t="inlineStr">
        <is>
          <t>Best</t>
        </is>
      </c>
      <c r="H377" s="9" t="inlineStr">
        <is>
          <t>praise</t>
        </is>
      </c>
      <c r="I377" s="9" t="inlineStr">
        <is>
          <t>praise_service</t>
        </is>
      </c>
      <c r="J377" s="9" t="inlineStr"/>
      <c r="K377" s="9" t="inlineStr">
        <is>
          <t>no</t>
        </is>
      </c>
      <c r="L377" s="9" t="inlineStr">
        <is>
          <t>no</t>
        </is>
      </c>
      <c r="M377" s="9" t="inlineStr">
        <is>
          <t>none</t>
        </is>
      </c>
      <c r="N377" s="9" t="inlineStr">
        <is>
          <t>no</t>
        </is>
      </c>
      <c r="O377" s="9" t="inlineStr">
        <is>
          <t>unknown</t>
        </is>
      </c>
      <c r="P377" s="9" t="inlineStr"/>
      <c r="Q377" s="9" t="n">
        <v>0</v>
      </c>
      <c r="R377" s="59" t="inlineStr">
        <is>
          <t>Best</t>
        </is>
      </c>
      <c r="S377" s="9" t="inlineStr">
        <is>
          <t>praise</t>
        </is>
      </c>
      <c r="T377" s="9" t="inlineStr">
        <is>
          <t>praise</t>
        </is>
      </c>
      <c r="U377" s="59" t="inlineStr"/>
    </row>
    <row r="378">
      <c r="A378" s="9" t="n">
        <v>377</v>
      </c>
      <c r="B378" s="58" t="n">
        <v>46223</v>
      </c>
      <c r="C378" s="9" t="str">
        <f>TEXT(B378,"yyyy-mm")</f>
        <v>2026-07</v>
      </c>
      <c r="D378" s="9" t="n">
        <v>1</v>
      </c>
      <c r="E378" s="9" t="inlineStr">
        <is>
          <t>18.5.0</t>
        </is>
      </c>
      <c r="F378" s="59" t="inlineStr">
        <is>
          <t>Pathetic experience!!</t>
        </is>
      </c>
      <c r="G378" s="59" t="inlineStr">
        <is>
          <t>Cheap quality products are used that are packaged and marketed as “korean wax”. Used and unhygienic gown was handed over to me from a sealed packet. Please don’t waste your money and subject your skin to such third degree products!!</t>
        </is>
      </c>
      <c r="H378" s="9" t="inlineStr">
        <is>
          <t>product_fit</t>
        </is>
      </c>
      <c r="I378" s="9" t="inlineStr">
        <is>
          <t>product_quality</t>
        </is>
      </c>
      <c r="J378" s="9" t="inlineStr">
        <is>
          <t>service_quality</t>
        </is>
      </c>
      <c r="K378" s="9" t="inlineStr">
        <is>
          <t>no</t>
        </is>
      </c>
      <c r="L378" s="9" t="inlineStr">
        <is>
          <t>no</t>
        </is>
      </c>
      <c r="M378" s="9" t="inlineStr">
        <is>
          <t>medium</t>
        </is>
      </c>
      <c r="N378" s="9" t="inlineStr">
        <is>
          <t>no</t>
        </is>
      </c>
      <c r="O378" s="9" t="inlineStr">
        <is>
          <t>waxing</t>
        </is>
      </c>
      <c r="P378" s="9" t="inlineStr"/>
      <c r="Q378" s="9" t="n">
        <v>0</v>
      </c>
      <c r="R378" s="59" t="inlineStr">
        <is>
          <t>Cheap quality products are used that are packaged and marketed as “korean wax”. Used and unhygienic gown was handed over to me</t>
        </is>
      </c>
      <c r="S378" s="9" t="inlineStr">
        <is>
          <t>product_fit</t>
        </is>
      </c>
      <c r="T378" s="9" t="inlineStr">
        <is>
          <t>product_fit</t>
        </is>
      </c>
      <c r="U378" s="59" t="inlineStr"/>
    </row>
    <row r="379">
      <c r="A379" s="9" t="n">
        <v>378</v>
      </c>
      <c r="B379" s="58" t="n">
        <v>46223</v>
      </c>
      <c r="C379" s="9" t="str">
        <f>TEXT(B379,"yyyy-mm")</f>
        <v>2026-07</v>
      </c>
      <c r="D379" s="9" t="n">
        <v>4</v>
      </c>
      <c r="E379" s="9" t="inlineStr">
        <is>
          <t>18.5.0</t>
        </is>
      </c>
      <c r="F379" s="59" t="inlineStr">
        <is>
          <t>Good Service</t>
        </is>
      </c>
      <c r="G379" s="59" t="inlineStr">
        <is>
          <t>Nice and good Service</t>
        </is>
      </c>
      <c r="H379" s="9" t="inlineStr">
        <is>
          <t>praise</t>
        </is>
      </c>
      <c r="I379" s="9" t="inlineStr">
        <is>
          <t>praise_service</t>
        </is>
      </c>
      <c r="J379" s="9" t="inlineStr"/>
      <c r="K379" s="9" t="inlineStr">
        <is>
          <t>no</t>
        </is>
      </c>
      <c r="L379" s="9" t="inlineStr">
        <is>
          <t>no</t>
        </is>
      </c>
      <c r="M379" s="9" t="inlineStr">
        <is>
          <t>none</t>
        </is>
      </c>
      <c r="N379" s="9" t="inlineStr">
        <is>
          <t>no</t>
        </is>
      </c>
      <c r="O379" s="9" t="inlineStr">
        <is>
          <t>unknown</t>
        </is>
      </c>
      <c r="P379" s="9" t="inlineStr"/>
      <c r="Q379" s="9" t="n">
        <v>0</v>
      </c>
      <c r="R379" s="59" t="inlineStr">
        <is>
          <t>Nice and good Service</t>
        </is>
      </c>
      <c r="S379" s="9" t="inlineStr">
        <is>
          <t>praise</t>
        </is>
      </c>
      <c r="T379" s="9" t="inlineStr">
        <is>
          <t>praise</t>
        </is>
      </c>
      <c r="U379" s="59" t="inlineStr"/>
    </row>
    <row r="380">
      <c r="A380" s="9" t="n">
        <v>379</v>
      </c>
      <c r="B380" s="58" t="n">
        <v>46223</v>
      </c>
      <c r="C380" s="9" t="str">
        <f>TEXT(B380,"yyyy-mm")</f>
        <v>2026-07</v>
      </c>
      <c r="D380" s="9" t="n">
        <v>5</v>
      </c>
      <c r="E380" s="9" t="inlineStr">
        <is>
          <t>18.5.0</t>
        </is>
      </c>
      <c r="F380" s="59" t="inlineStr">
        <is>
          <t>Experience with YesMadam</t>
        </is>
      </c>
      <c r="G380" s="59" t="inlineStr">
        <is>
          <t>I booked a Gold Professional from YesMadam for my mom’s eyebrow threading, forehead threading, and Korean Glow Facial, and the experience exceeded our expectations. The professional arrived on time, maintained excellent hygiene, and was extremely polite, friendly, and professional throughout the service. She explained every step of the facial and made sure my mom was comfortable the entire time.
The eyebrow and forehead threading were done with great precision and minimal discomfort. The Korean Glow Facial was amazing—my mom’s skin looked brighter, healthier, and felt incredibly soft after the session. She was genuinely impressed with the results and couldn’t stop smiling after seeing the glow on her face.
The overall service was relaxing, professional, and completely worth the price. We truly appreciated the quality of the service, the products used, and the expert’s behavior. Thank you, YesMadam, for making my mom’s day so special. We are extremely satisfied and will definitely book again. Highly recommended ❤️</t>
        </is>
      </c>
      <c r="H380" s="9" t="inlineStr">
        <is>
          <t>praise</t>
        </is>
      </c>
      <c r="I380" s="9" t="inlineStr">
        <is>
          <t>praise_professional</t>
        </is>
      </c>
      <c r="J380" s="9" t="inlineStr"/>
      <c r="K380" s="9" t="inlineStr">
        <is>
          <t>no</t>
        </is>
      </c>
      <c r="L380" s="9" t="inlineStr">
        <is>
          <t>no</t>
        </is>
      </c>
      <c r="M380" s="9" t="inlineStr">
        <is>
          <t>none</t>
        </is>
      </c>
      <c r="N380" s="9" t="inlineStr">
        <is>
          <t>no</t>
        </is>
      </c>
      <c r="O380" s="9" t="inlineStr">
        <is>
          <t>multiple</t>
        </is>
      </c>
      <c r="P380" s="9" t="inlineStr"/>
      <c r="Q380" s="9" t="n">
        <v>0</v>
      </c>
      <c r="R380" s="59" t="inlineStr">
        <is>
          <t>The professional arrived on time, maintained excellent hygiene, and was extremely polite, friendly, and professional throughout the service.</t>
        </is>
      </c>
      <c r="S380" s="9" t="inlineStr">
        <is>
          <t>praise</t>
        </is>
      </c>
      <c r="T380" s="9" t="inlineStr">
        <is>
          <t>praise</t>
        </is>
      </c>
      <c r="U380" s="59" t="inlineStr"/>
    </row>
    <row r="381">
      <c r="A381" s="9" t="n">
        <v>380</v>
      </c>
      <c r="B381" s="58" t="n">
        <v>46223</v>
      </c>
      <c r="C381" s="9" t="str">
        <f>TEXT(B381,"yyyy-mm")</f>
        <v>2026-07</v>
      </c>
      <c r="D381" s="9" t="n">
        <v>1</v>
      </c>
      <c r="E381" s="9" t="inlineStr">
        <is>
          <t>18.5.0</t>
        </is>
      </c>
      <c r="F381" s="59" t="inlineStr">
        <is>
          <t>No support</t>
        </is>
      </c>
      <c r="G381" s="59" t="inlineStr">
        <is>
          <t>Useless customer care</t>
        </is>
      </c>
      <c r="H381" s="9" t="inlineStr">
        <is>
          <t>support</t>
        </is>
      </c>
      <c r="I381" s="9" t="inlineStr">
        <is>
          <t>unhelpful_or_scripted</t>
        </is>
      </c>
      <c r="J381" s="9" t="inlineStr"/>
      <c r="K381" s="9" t="inlineStr">
        <is>
          <t>yes</t>
        </is>
      </c>
      <c r="L381" s="9" t="inlineStr">
        <is>
          <t>yes</t>
        </is>
      </c>
      <c r="M381" s="9" t="inlineStr">
        <is>
          <t>low</t>
        </is>
      </c>
      <c r="N381" s="9" t="inlineStr">
        <is>
          <t>no</t>
        </is>
      </c>
      <c r="O381" s="9" t="inlineStr">
        <is>
          <t>unknown</t>
        </is>
      </c>
      <c r="P381" s="9" t="inlineStr"/>
      <c r="Q381" s="9" t="n">
        <v>0</v>
      </c>
      <c r="R381" s="59" t="inlineStr">
        <is>
          <t>Useless customer care</t>
        </is>
      </c>
      <c r="S381" s="9" t="inlineStr">
        <is>
          <t>support</t>
        </is>
      </c>
      <c r="T381" s="9" t="inlineStr">
        <is>
          <t>support</t>
        </is>
      </c>
      <c r="U381" s="59" t="inlineStr"/>
    </row>
    <row r="382">
      <c r="A382" s="9" t="n">
        <v>381</v>
      </c>
      <c r="B382" s="58" t="n">
        <v>46223</v>
      </c>
      <c r="C382" s="9" t="str">
        <f>TEXT(B382,"yyyy-mm")</f>
        <v>2026-07</v>
      </c>
      <c r="D382" s="9" t="n">
        <v>1</v>
      </c>
      <c r="E382" s="9" t="inlineStr">
        <is>
          <t>18.5.0</t>
        </is>
      </c>
      <c r="F382" s="59" t="inlineStr">
        <is>
          <t>Worst</t>
        </is>
      </c>
      <c r="G382" s="59" t="inlineStr">
        <is>
          <t>They force to upgrade the package and also support team does not respond.</t>
        </is>
      </c>
      <c r="H382" s="9" t="inlineStr">
        <is>
          <t>product_fit</t>
        </is>
      </c>
      <c r="I382" s="9" t="inlineStr">
        <is>
          <t>product_upsell</t>
        </is>
      </c>
      <c r="J382" s="9" t="inlineStr">
        <is>
          <t>support</t>
        </is>
      </c>
      <c r="K382" s="9" t="inlineStr">
        <is>
          <t>yes</t>
        </is>
      </c>
      <c r="L382" s="9" t="inlineStr">
        <is>
          <t>yes</t>
        </is>
      </c>
      <c r="M382" s="9" t="inlineStr">
        <is>
          <t>low</t>
        </is>
      </c>
      <c r="N382" s="9" t="inlineStr">
        <is>
          <t>no</t>
        </is>
      </c>
      <c r="O382" s="9" t="inlineStr">
        <is>
          <t>unknown</t>
        </is>
      </c>
      <c r="P382" s="9" t="inlineStr"/>
      <c r="Q382" s="9" t="n">
        <v>0</v>
      </c>
      <c r="R382" s="59" t="inlineStr">
        <is>
          <t>They force to upgrade the package and also support team does not respond.</t>
        </is>
      </c>
      <c r="S382" s="9" t="inlineStr">
        <is>
          <t>product_fit</t>
        </is>
      </c>
      <c r="T382" s="9" t="inlineStr">
        <is>
          <t>product_fit</t>
        </is>
      </c>
      <c r="U382" s="59" t="inlineStr"/>
    </row>
    <row r="383">
      <c r="A383" s="9" t="n">
        <v>382</v>
      </c>
      <c r="B383" s="58" t="n">
        <v>46223</v>
      </c>
      <c r="C383" s="9" t="str">
        <f>TEXT(B383,"yyyy-mm")</f>
        <v>2026-07</v>
      </c>
      <c r="D383" s="9" t="n">
        <v>2</v>
      </c>
      <c r="E383" s="9" t="inlineStr">
        <is>
          <t>18.5.0</t>
        </is>
      </c>
      <c r="F383" s="59" t="inlineStr">
        <is>
          <t>Not good experience</t>
        </is>
      </c>
      <c r="G383" s="59" t="inlineStr">
        <is>
          <t>I don’t why I never get a good experience via YesMadam, it is little cheaper, but their services are not worth it. Sometimes it feels like wasting money. Urban Clap is costly but they give proper training to their professionals and their services are also far better than them.</t>
        </is>
      </c>
      <c r="H383" s="9" t="inlineStr">
        <is>
          <t>service_quality</t>
        </is>
      </c>
      <c r="I383" s="9" t="inlineStr">
        <is>
          <t>poor_skill</t>
        </is>
      </c>
      <c r="J383" s="9" t="inlineStr"/>
      <c r="K383" s="9" t="inlineStr">
        <is>
          <t>no</t>
        </is>
      </c>
      <c r="L383" s="9" t="inlineStr">
        <is>
          <t>no</t>
        </is>
      </c>
      <c r="M383" s="9" t="inlineStr">
        <is>
          <t>medium</t>
        </is>
      </c>
      <c r="N383" s="9" t="inlineStr">
        <is>
          <t>no</t>
        </is>
      </c>
      <c r="O383" s="9" t="inlineStr">
        <is>
          <t>unknown</t>
        </is>
      </c>
      <c r="P383" s="9" t="inlineStr"/>
      <c r="Q383" s="9" t="n">
        <v>0</v>
      </c>
      <c r="R383" s="59" t="inlineStr">
        <is>
          <t>it is little cheaper, but their services are not worth it. Sometimes it feels like wasting money.</t>
        </is>
      </c>
      <c r="S383" s="9" t="inlineStr">
        <is>
          <t>service_quality</t>
        </is>
      </c>
      <c r="T383" s="9" t="inlineStr">
        <is>
          <t>service_quality</t>
        </is>
      </c>
      <c r="U383" s="59" t="inlineStr"/>
    </row>
    <row r="384">
      <c r="A384" s="9" t="n">
        <v>383</v>
      </c>
      <c r="B384" s="58" t="n">
        <v>46223</v>
      </c>
      <c r="C384" s="9" t="str">
        <f>TEXT(B384,"yyyy-mm")</f>
        <v>2026-07</v>
      </c>
      <c r="D384" s="9" t="n">
        <v>5</v>
      </c>
      <c r="E384" s="9" t="inlineStr">
        <is>
          <t>18.5.0</t>
        </is>
      </c>
      <c r="F384" s="59" t="inlineStr">
        <is>
          <t>Salon at home</t>
        </is>
      </c>
      <c r="G384" s="59" t="inlineStr">
        <is>
          <t>Beautiful experience with [name] 😍🥰🥰</t>
        </is>
      </c>
      <c r="H384" s="9" t="inlineStr">
        <is>
          <t>praise</t>
        </is>
      </c>
      <c r="I384" s="9" t="inlineStr">
        <is>
          <t>praise_professional</t>
        </is>
      </c>
      <c r="J384" s="9" t="inlineStr"/>
      <c r="K384" s="9" t="inlineStr">
        <is>
          <t>no</t>
        </is>
      </c>
      <c r="L384" s="9" t="inlineStr">
        <is>
          <t>no</t>
        </is>
      </c>
      <c r="M384" s="9" t="inlineStr">
        <is>
          <t>none</t>
        </is>
      </c>
      <c r="N384" s="9" t="inlineStr">
        <is>
          <t>no</t>
        </is>
      </c>
      <c r="O384" s="9" t="inlineStr">
        <is>
          <t>unknown</t>
        </is>
      </c>
      <c r="P384" s="9" t="inlineStr"/>
      <c r="Q384" s="9" t="n">
        <v>0</v>
      </c>
      <c r="R384" s="59" t="inlineStr">
        <is>
          <t>Beautiful experience with [name] 😍🥰🥰</t>
        </is>
      </c>
      <c r="S384" s="9" t="inlineStr">
        <is>
          <t>praise</t>
        </is>
      </c>
      <c r="T384" s="9" t="inlineStr">
        <is>
          <t>praise</t>
        </is>
      </c>
      <c r="U384" s="59" t="inlineStr"/>
    </row>
    <row r="385">
      <c r="A385" s="9" t="n">
        <v>384</v>
      </c>
      <c r="B385" s="58" t="n">
        <v>46223</v>
      </c>
      <c r="C385" s="9" t="str">
        <f>TEXT(B385,"yyyy-mm")</f>
        <v>2026-07</v>
      </c>
      <c r="D385" s="9" t="n">
        <v>5</v>
      </c>
      <c r="E385" s="9" t="inlineStr">
        <is>
          <t>18.5.0</t>
        </is>
      </c>
      <c r="F385" s="59" t="inlineStr">
        <is>
          <t>Korean hydra</t>
        </is>
      </c>
      <c r="G385" s="59" t="inlineStr">
        <is>
          <t>[name] was excellent.  She described the entire kit in detail.</t>
        </is>
      </c>
      <c r="H385" s="9" t="inlineStr">
        <is>
          <t>praise</t>
        </is>
      </c>
      <c r="I385" s="9" t="inlineStr">
        <is>
          <t>praise_professional</t>
        </is>
      </c>
      <c r="J385" s="9" t="inlineStr"/>
      <c r="K385" s="9" t="inlineStr">
        <is>
          <t>no</t>
        </is>
      </c>
      <c r="L385" s="9" t="inlineStr">
        <is>
          <t>no</t>
        </is>
      </c>
      <c r="M385" s="9" t="inlineStr">
        <is>
          <t>none</t>
        </is>
      </c>
      <c r="N385" s="9" t="inlineStr">
        <is>
          <t>no</t>
        </is>
      </c>
      <c r="O385" s="9" t="inlineStr">
        <is>
          <t>facial_cleanup</t>
        </is>
      </c>
      <c r="P385" s="9" t="inlineStr"/>
      <c r="Q385" s="9" t="n">
        <v>0</v>
      </c>
      <c r="R385" s="59" t="inlineStr">
        <is>
          <t>[name] was excellent.  She described the entire kit in detail.</t>
        </is>
      </c>
      <c r="S385" s="9" t="inlineStr">
        <is>
          <t>praise</t>
        </is>
      </c>
      <c r="T385" s="9" t="inlineStr">
        <is>
          <t>praise</t>
        </is>
      </c>
      <c r="U385" s="59" t="inlineStr"/>
    </row>
    <row r="386">
      <c r="A386" s="9" t="n">
        <v>385</v>
      </c>
      <c r="B386" s="58" t="n">
        <v>46222</v>
      </c>
      <c r="C386" s="9" t="str">
        <f>TEXT(B386,"yyyy-mm")</f>
        <v>2026-07</v>
      </c>
      <c r="D386" s="9" t="n">
        <v>1</v>
      </c>
      <c r="E386" s="9" t="inlineStr">
        <is>
          <t>18.5.0</t>
        </is>
      </c>
      <c r="F386" s="59" t="inlineStr">
        <is>
          <t>Request to Launch Male Grooming Services in Prayagraj</t>
        </is>
      </c>
      <c r="G386" s="59" t="inlineStr">
        <is>
          <t>Hello Team,
I am from Prayagraj. 
Female beauty services are available in my city, prayagraj but male grooming services are not. There is a strong demand for at-home men’s salon services here. Kindly consider launching male grooming services in Prayagraj at the earliest. Many customers, including my family and friends, would love to use them. Thank you.</t>
        </is>
      </c>
      <c r="H386" s="9" t="inlineStr">
        <is>
          <t>other</t>
        </is>
      </c>
      <c r="I386" s="9" t="inlineStr">
        <is>
          <t>other_issue</t>
        </is>
      </c>
      <c r="J386" s="9" t="inlineStr"/>
      <c r="K386" s="9" t="inlineStr">
        <is>
          <t>no</t>
        </is>
      </c>
      <c r="L386" s="9" t="inlineStr">
        <is>
          <t>no</t>
        </is>
      </c>
      <c r="M386" s="9" t="inlineStr">
        <is>
          <t>low</t>
        </is>
      </c>
      <c r="N386" s="9" t="inlineStr">
        <is>
          <t>no</t>
        </is>
      </c>
      <c r="O386" s="9" t="inlineStr">
        <is>
          <t>unknown</t>
        </is>
      </c>
      <c r="P386" s="9" t="inlineStr">
        <is>
          <t>Prayagraj</t>
        </is>
      </c>
      <c r="Q386" s="9" t="n">
        <v>0</v>
      </c>
      <c r="R386" s="59" t="inlineStr">
        <is>
          <t>Female beauty services are available in my city, prayagraj but male grooming services are not.</t>
        </is>
      </c>
      <c r="S386" s="9" t="inlineStr">
        <is>
          <t>other</t>
        </is>
      </c>
      <c r="T386" s="9" t="inlineStr">
        <is>
          <t>other</t>
        </is>
      </c>
      <c r="U386" s="59" t="inlineStr"/>
    </row>
    <row r="387">
      <c r="A387" s="9" t="n">
        <v>386</v>
      </c>
      <c r="B387" s="58" t="n">
        <v>46222</v>
      </c>
      <c r="C387" s="9" t="str">
        <f>TEXT(B387,"yyyy-mm")</f>
        <v>2026-07</v>
      </c>
      <c r="D387" s="9" t="n">
        <v>1</v>
      </c>
      <c r="E387" s="9" t="inlineStr">
        <is>
          <t>18.5.0</t>
        </is>
      </c>
      <c r="F387" s="59" t="inlineStr">
        <is>
          <t>So many hidden charges. Horrible service and too pricey</t>
        </is>
      </c>
      <c r="G387" s="59" t="inlineStr">
        <is>
          <t>Not worth it</t>
        </is>
      </c>
      <c r="H387" s="9" t="inlineStr">
        <is>
          <t>price_clarity</t>
        </is>
      </c>
      <c r="I387" s="9" t="inlineStr">
        <is>
          <t>hidden_charges</t>
        </is>
      </c>
      <c r="J387" s="9" t="inlineStr"/>
      <c r="K387" s="9" t="inlineStr">
        <is>
          <t>no</t>
        </is>
      </c>
      <c r="L387" s="9" t="inlineStr">
        <is>
          <t>no</t>
        </is>
      </c>
      <c r="M387" s="9" t="inlineStr">
        <is>
          <t>medium</t>
        </is>
      </c>
      <c r="N387" s="9" t="inlineStr">
        <is>
          <t>no</t>
        </is>
      </c>
      <c r="O387" s="9" t="inlineStr">
        <is>
          <t>unknown</t>
        </is>
      </c>
      <c r="P387" s="9" t="inlineStr"/>
      <c r="Q387" s="9" t="n">
        <v>0</v>
      </c>
      <c r="R387" s="59" t="inlineStr">
        <is>
          <t>So many hidden charges. Horrible service and too pricey</t>
        </is>
      </c>
      <c r="S387" s="9" t="inlineStr">
        <is>
          <t>price_clarity</t>
        </is>
      </c>
      <c r="T387" s="9" t="inlineStr">
        <is>
          <t>price_clarity</t>
        </is>
      </c>
      <c r="U387" s="59" t="inlineStr"/>
    </row>
    <row r="388">
      <c r="A388" s="9" t="n">
        <v>387</v>
      </c>
      <c r="B388" s="58" t="n">
        <v>46222</v>
      </c>
      <c r="C388" s="9" t="str">
        <f>TEXT(B388,"yyyy-mm")</f>
        <v>2026-07</v>
      </c>
      <c r="D388" s="9" t="n">
        <v>5</v>
      </c>
      <c r="E388" s="9" t="inlineStr">
        <is>
          <t>18.5.0</t>
        </is>
      </c>
      <c r="F388" s="59" t="inlineStr">
        <is>
          <t>Hydra</t>
        </is>
      </c>
      <c r="G388" s="59" t="inlineStr">
        <is>
          <t>[name] did my cleanup, and she was very professional throughout. The massage was incredibly relaxing, and she made the entire experience comfortable and enjoyable. Highly recommend her service!</t>
        </is>
      </c>
      <c r="H388" s="9" t="inlineStr">
        <is>
          <t>praise</t>
        </is>
      </c>
      <c r="I388" s="9" t="inlineStr">
        <is>
          <t>praise_professional</t>
        </is>
      </c>
      <c r="J388" s="9" t="inlineStr"/>
      <c r="K388" s="9" t="inlineStr">
        <is>
          <t>no</t>
        </is>
      </c>
      <c r="L388" s="9" t="inlineStr">
        <is>
          <t>no</t>
        </is>
      </c>
      <c r="M388" s="9" t="inlineStr">
        <is>
          <t>none</t>
        </is>
      </c>
      <c r="N388" s="9" t="inlineStr">
        <is>
          <t>no</t>
        </is>
      </c>
      <c r="O388" s="9" t="inlineStr">
        <is>
          <t>facial_cleanup</t>
        </is>
      </c>
      <c r="P388" s="9" t="inlineStr"/>
      <c r="Q388" s="9" t="n">
        <v>0</v>
      </c>
      <c r="R388" s="59" t="inlineStr">
        <is>
          <t>[name] did my cleanup, and she was very professional throughout. The massage was incredibly relaxing</t>
        </is>
      </c>
      <c r="S388" s="9" t="inlineStr">
        <is>
          <t>praise</t>
        </is>
      </c>
      <c r="T388" s="9" t="inlineStr">
        <is>
          <t>praise</t>
        </is>
      </c>
      <c r="U388" s="59" t="inlineStr"/>
    </row>
    <row r="389">
      <c r="A389" s="9" t="n">
        <v>388</v>
      </c>
      <c r="B389" s="58" t="n">
        <v>46222</v>
      </c>
      <c r="C389" s="9" t="str">
        <f>TEXT(B389,"yyyy-mm")</f>
        <v>2026-07</v>
      </c>
      <c r="D389" s="9" t="n">
        <v>1</v>
      </c>
      <c r="E389" s="9" t="inlineStr">
        <is>
          <t>18.5.0</t>
        </is>
      </c>
      <c r="F389" s="59" t="inlineStr">
        <is>
          <t>Worst Services</t>
        </is>
      </c>
      <c r="G389" s="59" t="inlineStr">
        <is>
          <t>Highly unprofessional. I am not going to recommend any of my family and friends to use this app.</t>
        </is>
      </c>
      <c r="H389" s="9" t="inlineStr">
        <is>
          <t>other</t>
        </is>
      </c>
      <c r="I389" s="9" t="inlineStr">
        <is>
          <t>unclear</t>
        </is>
      </c>
      <c r="J389" s="9" t="inlineStr"/>
      <c r="K389" s="9" t="inlineStr">
        <is>
          <t>no</t>
        </is>
      </c>
      <c r="L389" s="9" t="inlineStr">
        <is>
          <t>no</t>
        </is>
      </c>
      <c r="M389" s="9" t="inlineStr">
        <is>
          <t>low</t>
        </is>
      </c>
      <c r="N389" s="9" t="inlineStr">
        <is>
          <t>no</t>
        </is>
      </c>
      <c r="O389" s="9" t="inlineStr">
        <is>
          <t>unknown</t>
        </is>
      </c>
      <c r="P389" s="9" t="inlineStr"/>
      <c r="Q389" s="9" t="n">
        <v>0</v>
      </c>
      <c r="R389" s="59" t="inlineStr">
        <is>
          <t>Highly unprofessional. I am not going to recommend any of my family and friends to use this app.</t>
        </is>
      </c>
      <c r="S389" s="9" t="inlineStr">
        <is>
          <t>other</t>
        </is>
      </c>
      <c r="T389" s="9" t="inlineStr">
        <is>
          <t>other</t>
        </is>
      </c>
      <c r="U389" s="59" t="inlineStr"/>
    </row>
    <row r="390">
      <c r="A390" s="9" t="n">
        <v>389</v>
      </c>
      <c r="B390" s="58" t="n">
        <v>46222</v>
      </c>
      <c r="C390" s="9" t="str">
        <f>TEXT(B390,"yyyy-mm")</f>
        <v>2026-07</v>
      </c>
      <c r="D390" s="9" t="n">
        <v>5</v>
      </c>
      <c r="E390" s="9" t="inlineStr">
        <is>
          <t>18.5.0</t>
        </is>
      </c>
      <c r="F390" s="59" t="inlineStr">
        <is>
          <t>Pedicure ( Korean)</t>
        </is>
      </c>
      <c r="G390" s="59" t="inlineStr">
        <is>
          <t>[name] was very good . Her dedication to work is appreciable. And first time I am taking the  service , found it really excellent and looking forward to take more services</t>
        </is>
      </c>
      <c r="H390" s="9" t="inlineStr">
        <is>
          <t>praise</t>
        </is>
      </c>
      <c r="I390" s="9" t="inlineStr">
        <is>
          <t>praise_professional</t>
        </is>
      </c>
      <c r="J390" s="9" t="inlineStr"/>
      <c r="K390" s="9" t="inlineStr">
        <is>
          <t>no</t>
        </is>
      </c>
      <c r="L390" s="9" t="inlineStr">
        <is>
          <t>no</t>
        </is>
      </c>
      <c r="M390" s="9" t="inlineStr">
        <is>
          <t>none</t>
        </is>
      </c>
      <c r="N390" s="9" t="inlineStr">
        <is>
          <t>no</t>
        </is>
      </c>
      <c r="O390" s="9" t="inlineStr">
        <is>
          <t>mani_pedi</t>
        </is>
      </c>
      <c r="P390" s="9" t="inlineStr"/>
      <c r="Q390" s="9" t="n">
        <v>0</v>
      </c>
      <c r="R390" s="59" t="inlineStr">
        <is>
          <t>[name] was very good . Her dedication to work is appreciable.</t>
        </is>
      </c>
      <c r="S390" s="9" t="inlineStr">
        <is>
          <t>praise</t>
        </is>
      </c>
      <c r="T390" s="9" t="inlineStr">
        <is>
          <t>praise</t>
        </is>
      </c>
      <c r="U390" s="59" t="inlineStr"/>
    </row>
    <row r="391">
      <c r="A391" s="9" t="n">
        <v>390</v>
      </c>
      <c r="B391" s="58" t="n">
        <v>46222</v>
      </c>
      <c r="C391" s="9" t="str">
        <f>TEXT(B391,"yyyy-mm")</f>
        <v>2026-07</v>
      </c>
      <c r="D391" s="9" t="n">
        <v>1</v>
      </c>
      <c r="E391" s="9" t="inlineStr">
        <is>
          <t>18.5.0</t>
        </is>
      </c>
      <c r="F391" s="59" t="inlineStr">
        <is>
          <t>Terrible service</t>
        </is>
      </c>
      <c r="G391" s="59" t="inlineStr">
        <is>
          <t>They don’t provide bed with spa services. The professional charges extra money. On complaining they give cashback in the wallet but it has just 1 month validity and only partially redeemable at a time.</t>
        </is>
      </c>
      <c r="H391" s="9" t="inlineStr">
        <is>
          <t>price_clarity</t>
        </is>
      </c>
      <c r="I391" s="9" t="inlineStr">
        <is>
          <t>hidden_charges</t>
        </is>
      </c>
      <c r="J391" s="9" t="inlineStr">
        <is>
          <t>payment_refund, support</t>
        </is>
      </c>
      <c r="K391" s="9" t="inlineStr">
        <is>
          <t>yes</t>
        </is>
      </c>
      <c r="L391" s="9" t="inlineStr">
        <is>
          <t>yes</t>
        </is>
      </c>
      <c r="M391" s="9" t="inlineStr">
        <is>
          <t>medium</t>
        </is>
      </c>
      <c r="N391" s="9" t="inlineStr">
        <is>
          <t>no</t>
        </is>
      </c>
      <c r="O391" s="9" t="inlineStr">
        <is>
          <t>massage_spa</t>
        </is>
      </c>
      <c r="P391" s="9" t="inlineStr"/>
      <c r="Q391" s="9" t="n">
        <v>0</v>
      </c>
      <c r="R391" s="59" t="inlineStr">
        <is>
          <t>They don’t provide bed with spa services. The professional charges extra money.</t>
        </is>
      </c>
      <c r="S391" s="9" t="inlineStr">
        <is>
          <t>price_clarity</t>
        </is>
      </c>
      <c r="T391" s="9" t="inlineStr">
        <is>
          <t>price_clarity</t>
        </is>
      </c>
      <c r="U391" s="59" t="inlineStr"/>
    </row>
    <row r="392">
      <c r="A392" s="9" t="n">
        <v>391</v>
      </c>
      <c r="B392" s="58" t="n">
        <v>46222</v>
      </c>
      <c r="C392" s="9" t="str">
        <f>TEXT(B392,"yyyy-mm")</f>
        <v>2026-07</v>
      </c>
      <c r="D392" s="9" t="n">
        <v>1</v>
      </c>
      <c r="E392" s="9" t="inlineStr">
        <is>
          <t>18.5.0</t>
        </is>
      </c>
      <c r="F392" s="59" t="inlineStr">
        <is>
          <t>19-20% Miscellaneous charges</t>
        </is>
      </c>
      <c r="G392" s="59" t="inlineStr">
        <is>
          <t>1. The price that is displayed at the time of booking and while payment is totally different. Sometimes 19-20% extra amount is added on that. As per companies support email, this is as per companies pricing model. I am not sure if it’s compliance with the Indian consumer law - drip pricing. Urban company and other vendors upfront shows the charges and adds it under GST or convenience and not add a bulk charge after variable charge, disposable charge, stating “it will go towards professionals training”. Why does a customer needs to pay for professional training?
2. Slots are never available.
3. Poor customer service.
4. Elite membership is again a scam. The cashback expires within a month. 
5. Poor quality professionals.
They try to attract customers by ad’s, showing less charges in the starting, but ultimately adds 19-20% extra while billing, sends low quality, untrained professionals, no proper way of addressing customer grievances.</t>
        </is>
      </c>
      <c r="H392" s="9" t="inlineStr">
        <is>
          <t>price_clarity</t>
        </is>
      </c>
      <c r="I392" s="9" t="inlineStr">
        <is>
          <t>hidden_charges</t>
        </is>
      </c>
      <c r="J392" s="9" t="inlineStr">
        <is>
          <t>app, support, service_quality</t>
        </is>
      </c>
      <c r="K392" s="9" t="inlineStr">
        <is>
          <t>yes</t>
        </is>
      </c>
      <c r="L392" s="9" t="inlineStr">
        <is>
          <t>yes</t>
        </is>
      </c>
      <c r="M392" s="9" t="inlineStr">
        <is>
          <t>medium</t>
        </is>
      </c>
      <c r="N392" s="9" t="inlineStr">
        <is>
          <t>no</t>
        </is>
      </c>
      <c r="O392" s="9" t="inlineStr">
        <is>
          <t>unknown</t>
        </is>
      </c>
      <c r="P392" s="9" t="inlineStr"/>
      <c r="Q392" s="9" t="n">
        <v>0</v>
      </c>
      <c r="R392" s="59" t="inlineStr">
        <is>
          <t>The price that is displayed at the time of booking and while payment is totally different. Sometimes 19-20% extra amount is added</t>
        </is>
      </c>
      <c r="S392" s="9" t="inlineStr">
        <is>
          <t>price_clarity</t>
        </is>
      </c>
      <c r="T392" s="9" t="inlineStr">
        <is>
          <t>price_clarity</t>
        </is>
      </c>
      <c r="U392" s="59" t="inlineStr"/>
    </row>
    <row r="393">
      <c r="A393" s="9" t="n">
        <v>392</v>
      </c>
      <c r="B393" s="58" t="n">
        <v>46221</v>
      </c>
      <c r="C393" s="9" t="str">
        <f>TEXT(B393,"yyyy-mm")</f>
        <v>2026-07</v>
      </c>
      <c r="D393" s="9" t="n">
        <v>5</v>
      </c>
      <c r="E393" s="9" t="inlineStr">
        <is>
          <t>18.5.0</t>
        </is>
      </c>
      <c r="F393" s="59" t="inlineStr">
        <is>
          <t>Review for [name] and YesMadam Products</t>
        </is>
      </c>
      <c r="G393" s="59" t="inlineStr">
        <is>
          <t>[name] is an excellent massage therapist—professional, knowledgeable, and attentive to individual needs. She always ensures the session is tailored to areas that need the most attention, and I leave feeling noticeably more relaxed with reduced muscle tension. I highly recommend booking with her.
One suggestion for the app: I still have several massage products left, but I’d like to continue booking sessions without purchasing additional products. I couldn’t find a way to do this in the app, so it would be great if that option were made available.</t>
        </is>
      </c>
      <c r="H393" s="9" t="inlineStr">
        <is>
          <t>app</t>
        </is>
      </c>
      <c r="I393" s="9" t="inlineStr">
        <is>
          <t>other_app</t>
        </is>
      </c>
      <c r="J393" s="9" t="inlineStr"/>
      <c r="K393" s="9" t="inlineStr">
        <is>
          <t>no</t>
        </is>
      </c>
      <c r="L393" s="9" t="inlineStr">
        <is>
          <t>no</t>
        </is>
      </c>
      <c r="M393" s="9" t="inlineStr">
        <is>
          <t>low</t>
        </is>
      </c>
      <c r="N393" s="9" t="inlineStr">
        <is>
          <t>no</t>
        </is>
      </c>
      <c r="O393" s="9" t="inlineStr">
        <is>
          <t>massage_spa</t>
        </is>
      </c>
      <c r="P393" s="9" t="inlineStr"/>
      <c r="Q393" s="9" t="n">
        <v>0</v>
      </c>
      <c r="R393" s="59" t="inlineStr">
        <is>
          <t>I’d like to continue booking sessions without purchasing additional products. I couldn’t find a way to do this in the app</t>
        </is>
      </c>
      <c r="S393" s="9" t="inlineStr">
        <is>
          <t>app</t>
        </is>
      </c>
      <c r="T393" s="9" t="inlineStr">
        <is>
          <t>app</t>
        </is>
      </c>
      <c r="U393" s="59" t="inlineStr"/>
    </row>
    <row r="394">
      <c r="A394" s="9" t="n">
        <v>393</v>
      </c>
      <c r="B394" s="58" t="n">
        <v>46221</v>
      </c>
      <c r="C394" s="9" t="str">
        <f>TEXT(B394,"yyyy-mm")</f>
        <v>2026-07</v>
      </c>
      <c r="D394" s="9" t="n">
        <v>1</v>
      </c>
      <c r="E394" s="9" t="inlineStr">
        <is>
          <t>18.5.0</t>
        </is>
      </c>
      <c r="F394" s="59" t="inlineStr">
        <is>
          <t>terrible</t>
        </is>
      </c>
      <c r="G394" s="59" t="inlineStr">
        <is>
          <t>ohh what a terrible experience. i booked for wax and mid waxing the wax is over😂😂. apparently, they are allowed only one candle of wax for full legs and full arms. its absurd</t>
        </is>
      </c>
      <c r="H394" s="9" t="inlineStr">
        <is>
          <t>product_fit</t>
        </is>
      </c>
      <c r="I394" s="9" t="inlineStr">
        <is>
          <t>missing_or_wrong_products</t>
        </is>
      </c>
      <c r="J394" s="9" t="inlineStr"/>
      <c r="K394" s="9" t="inlineStr">
        <is>
          <t>no</t>
        </is>
      </c>
      <c r="L394" s="9" t="inlineStr">
        <is>
          <t>no</t>
        </is>
      </c>
      <c r="M394" s="9" t="inlineStr">
        <is>
          <t>medium</t>
        </is>
      </c>
      <c r="N394" s="9" t="inlineStr">
        <is>
          <t>no</t>
        </is>
      </c>
      <c r="O394" s="9" t="inlineStr">
        <is>
          <t>waxing</t>
        </is>
      </c>
      <c r="P394" s="9" t="inlineStr"/>
      <c r="Q394" s="9" t="n">
        <v>0</v>
      </c>
      <c r="R394" s="59" t="inlineStr">
        <is>
          <t>i booked for wax and mid waxing the wax is over😂😂. apparently, they are allowed only one candle of wax</t>
        </is>
      </c>
      <c r="S394" s="9" t="inlineStr">
        <is>
          <t>product_fit</t>
        </is>
      </c>
      <c r="T394" s="9" t="inlineStr">
        <is>
          <t>product_fit</t>
        </is>
      </c>
      <c r="U394" s="59" t="inlineStr"/>
    </row>
    <row r="395">
      <c r="A395" s="9" t="n">
        <v>394</v>
      </c>
      <c r="B395" s="58" t="n">
        <v>46221</v>
      </c>
      <c r="C395" s="9" t="str">
        <f>TEXT(B395,"yyyy-mm")</f>
        <v>2026-07</v>
      </c>
      <c r="D395" s="9" t="n">
        <v>1</v>
      </c>
      <c r="E395" s="9" t="inlineStr">
        <is>
          <t>18.5.0</t>
        </is>
      </c>
      <c r="F395" s="59" t="inlineStr">
        <is>
          <t>Worst Experience</t>
        </is>
      </c>
      <c r="G395" s="59" t="inlineStr">
        <is>
          <t>Very disappointing experience. I was informed just 15 minutes before my scheduled appointment that my service had to be rescheduled to the next day because they didn't have the required products. This shows poor planning and no respect for the customer's time. If the products weren't available, the booking should never have been confirmed or I should have been informed much earlier. I had already planned my day around this appointment. Extremely unprofessional.</t>
        </is>
      </c>
      <c r="H395" s="9" t="inlineStr">
        <is>
          <t>partner_cancellation</t>
        </is>
      </c>
      <c r="I395" s="9" t="inlineStr">
        <is>
          <t>last_minute_cancel</t>
        </is>
      </c>
      <c r="J395" s="9" t="inlineStr">
        <is>
          <t>product_fit</t>
        </is>
      </c>
      <c r="K395" s="9" t="inlineStr">
        <is>
          <t>no</t>
        </is>
      </c>
      <c r="L395" s="9" t="inlineStr">
        <is>
          <t>no</t>
        </is>
      </c>
      <c r="M395" s="9" t="inlineStr">
        <is>
          <t>medium</t>
        </is>
      </c>
      <c r="N395" s="9" t="inlineStr">
        <is>
          <t>no</t>
        </is>
      </c>
      <c r="O395" s="9" t="inlineStr">
        <is>
          <t>unknown</t>
        </is>
      </c>
      <c r="P395" s="9" t="inlineStr"/>
      <c r="Q395" s="9" t="n">
        <v>0</v>
      </c>
      <c r="R395" s="59" t="inlineStr">
        <is>
          <t>I was informed just 15 minutes before my scheduled appointment that my service had to be rescheduled to the next day</t>
        </is>
      </c>
      <c r="S395" s="9" t="inlineStr">
        <is>
          <t>partner_cancellation</t>
        </is>
      </c>
      <c r="T395" s="9" t="inlineStr">
        <is>
          <t>partner_cancellation</t>
        </is>
      </c>
      <c r="U395" s="59" t="inlineStr"/>
    </row>
    <row r="396">
      <c r="A396" s="9" t="n">
        <v>395</v>
      </c>
      <c r="B396" s="58" t="n">
        <v>46221</v>
      </c>
      <c r="C396" s="9" t="str">
        <f>TEXT(B396,"yyyy-mm")</f>
        <v>2026-07</v>
      </c>
      <c r="D396" s="9" t="n">
        <v>5</v>
      </c>
      <c r="E396" s="9" t="inlineStr">
        <is>
          <t>18.5.0</t>
        </is>
      </c>
      <c r="F396" s="59" t="inlineStr">
        <is>
          <t>review</t>
        </is>
      </c>
      <c r="G396" s="59" t="inlineStr">
        <is>
          <t>Its a great experience with yes madam. Expert [name] was so friendly and done all the services very good and hygienic..</t>
        </is>
      </c>
      <c r="H396" s="9" t="inlineStr">
        <is>
          <t>praise</t>
        </is>
      </c>
      <c r="I396" s="9" t="inlineStr">
        <is>
          <t>praise_professional</t>
        </is>
      </c>
      <c r="J396" s="9" t="inlineStr"/>
      <c r="K396" s="9" t="inlineStr">
        <is>
          <t>no</t>
        </is>
      </c>
      <c r="L396" s="9" t="inlineStr">
        <is>
          <t>no</t>
        </is>
      </c>
      <c r="M396" s="9" t="inlineStr">
        <is>
          <t>none</t>
        </is>
      </c>
      <c r="N396" s="9" t="inlineStr">
        <is>
          <t>no</t>
        </is>
      </c>
      <c r="O396" s="9" t="inlineStr">
        <is>
          <t>unknown</t>
        </is>
      </c>
      <c r="P396" s="9" t="inlineStr"/>
      <c r="Q396" s="9" t="n">
        <v>0</v>
      </c>
      <c r="R396" s="59" t="inlineStr">
        <is>
          <t>Expert [name] was so friendly and done all the services very good and hygienic..</t>
        </is>
      </c>
      <c r="S396" s="9" t="inlineStr">
        <is>
          <t>praise</t>
        </is>
      </c>
      <c r="T396" s="9" t="inlineStr">
        <is>
          <t>praise</t>
        </is>
      </c>
      <c r="U396" s="59" t="inlineStr"/>
    </row>
    <row r="397">
      <c r="A397" s="9" t="n">
        <v>396</v>
      </c>
      <c r="B397" s="58" t="n">
        <v>46220</v>
      </c>
      <c r="C397" s="9" t="str">
        <f>TEXT(B397,"yyyy-mm")</f>
        <v>2026-07</v>
      </c>
      <c r="D397" s="9" t="n">
        <v>1</v>
      </c>
      <c r="E397" s="9" t="inlineStr">
        <is>
          <t>18.5.0</t>
        </is>
      </c>
      <c r="F397" s="59" t="inlineStr">
        <is>
          <t>App crash</t>
        </is>
      </c>
      <c r="G397" s="59" t="inlineStr">
        <is>
          <t>The app keeps crashing and not letting me book</t>
        </is>
      </c>
      <c r="H397" s="9" t="inlineStr">
        <is>
          <t>app</t>
        </is>
      </c>
      <c r="I397" s="9" t="inlineStr">
        <is>
          <t>crash_or_wont_open</t>
        </is>
      </c>
      <c r="J397" s="9" t="inlineStr"/>
      <c r="K397" s="9" t="inlineStr">
        <is>
          <t>no</t>
        </is>
      </c>
      <c r="L397" s="9" t="inlineStr">
        <is>
          <t>no</t>
        </is>
      </c>
      <c r="M397" s="9" t="inlineStr">
        <is>
          <t>low</t>
        </is>
      </c>
      <c r="N397" s="9" t="inlineStr">
        <is>
          <t>no</t>
        </is>
      </c>
      <c r="O397" s="9" t="inlineStr">
        <is>
          <t>unknown</t>
        </is>
      </c>
      <c r="P397" s="9" t="inlineStr"/>
      <c r="Q397" s="9" t="n">
        <v>0</v>
      </c>
      <c r="R397" s="59" t="inlineStr">
        <is>
          <t>The app keeps crashing and not letting me book</t>
        </is>
      </c>
      <c r="S397" s="9" t="inlineStr">
        <is>
          <t>app</t>
        </is>
      </c>
      <c r="T397" s="9" t="inlineStr">
        <is>
          <t>app</t>
        </is>
      </c>
      <c r="U397" s="59" t="inlineStr"/>
    </row>
    <row r="398">
      <c r="A398" s="9" t="n">
        <v>397</v>
      </c>
      <c r="B398" s="58" t="n">
        <v>46220</v>
      </c>
      <c r="C398" s="9" t="str">
        <f>TEXT(B398,"yyyy-mm")</f>
        <v>2026-07</v>
      </c>
      <c r="D398" s="9" t="n">
        <v>1</v>
      </c>
      <c r="E398" s="9" t="inlineStr">
        <is>
          <t>18.5.0</t>
        </is>
      </c>
      <c r="F398" s="59" t="inlineStr">
        <is>
          <t>worst app</t>
        </is>
      </c>
      <c r="G398" s="59" t="inlineStr">
        <is>
          <t>App has a lot of issues loading</t>
        </is>
      </c>
      <c r="H398" s="9" t="inlineStr">
        <is>
          <t>app</t>
        </is>
      </c>
      <c r="I398" s="9" t="inlineStr">
        <is>
          <t>crash_or_wont_open</t>
        </is>
      </c>
      <c r="J398" s="9" t="inlineStr"/>
      <c r="K398" s="9" t="inlineStr">
        <is>
          <t>no</t>
        </is>
      </c>
      <c r="L398" s="9" t="inlineStr">
        <is>
          <t>no</t>
        </is>
      </c>
      <c r="M398" s="9" t="inlineStr">
        <is>
          <t>low</t>
        </is>
      </c>
      <c r="N398" s="9" t="inlineStr">
        <is>
          <t>no</t>
        </is>
      </c>
      <c r="O398" s="9" t="inlineStr">
        <is>
          <t>unknown</t>
        </is>
      </c>
      <c r="P398" s="9" t="inlineStr"/>
      <c r="Q398" s="9" t="n">
        <v>0</v>
      </c>
      <c r="R398" s="59" t="inlineStr">
        <is>
          <t>App has a lot of issues loading</t>
        </is>
      </c>
      <c r="S398" s="9" t="inlineStr">
        <is>
          <t>app</t>
        </is>
      </c>
      <c r="T398" s="9" t="inlineStr">
        <is>
          <t>app</t>
        </is>
      </c>
      <c r="U398" s="59" t="inlineStr"/>
    </row>
    <row r="399">
      <c r="A399" s="9" t="n">
        <v>398</v>
      </c>
      <c r="B399" s="58" t="n">
        <v>46220</v>
      </c>
      <c r="C399" s="9" t="str">
        <f>TEXT(B399,"yyyy-mm")</f>
        <v>2026-07</v>
      </c>
      <c r="D399" s="9" t="n">
        <v>1</v>
      </c>
      <c r="E399" s="9" t="inlineStr">
        <is>
          <t>18.5.0</t>
        </is>
      </c>
      <c r="F399" s="59" t="inlineStr">
        <is>
          <t>Useless App</t>
        </is>
      </c>
      <c r="G399" s="59" t="inlineStr">
        <is>
          <t>Frustrating as minimum 1 hour booking must. Send annoying promotional message for 1000 YM balance but can’t be used fully</t>
        </is>
      </c>
      <c r="H399" s="9" t="inlineStr">
        <is>
          <t>price_clarity</t>
        </is>
      </c>
      <c r="I399" s="9" t="inlineStr">
        <is>
          <t>offer_not_honoured</t>
        </is>
      </c>
      <c r="J399" s="9" t="inlineStr">
        <is>
          <t>app</t>
        </is>
      </c>
      <c r="K399" s="9" t="inlineStr">
        <is>
          <t>no</t>
        </is>
      </c>
      <c r="L399" s="9" t="inlineStr">
        <is>
          <t>no</t>
        </is>
      </c>
      <c r="M399" s="9" t="inlineStr">
        <is>
          <t>low</t>
        </is>
      </c>
      <c r="N399" s="9" t="inlineStr">
        <is>
          <t>no</t>
        </is>
      </c>
      <c r="O399" s="9" t="inlineStr">
        <is>
          <t>unknown</t>
        </is>
      </c>
      <c r="P399" s="9" t="inlineStr"/>
      <c r="Q399" s="9" t="n">
        <v>1000</v>
      </c>
      <c r="R399" s="59" t="inlineStr">
        <is>
          <t>Send annoying promotional message for 1000 YM balance but can’t be used fully</t>
        </is>
      </c>
      <c r="S399" s="9" t="inlineStr">
        <is>
          <t>price_clarity</t>
        </is>
      </c>
      <c r="T399" s="9" t="inlineStr">
        <is>
          <t>price_clarity</t>
        </is>
      </c>
      <c r="U399" s="59" t="inlineStr"/>
    </row>
    <row r="400">
      <c r="A400" s="9" t="n">
        <v>399</v>
      </c>
      <c r="B400" s="58" t="n">
        <v>46220</v>
      </c>
      <c r="C400" s="9" t="str">
        <f>TEXT(B400,"yyyy-mm")</f>
        <v>2026-07</v>
      </c>
      <c r="D400" s="9" t="n">
        <v>5</v>
      </c>
      <c r="E400" s="9" t="inlineStr">
        <is>
          <t>18.5.0</t>
        </is>
      </c>
      <c r="F400" s="59" t="inlineStr">
        <is>
          <t>Very dedicated and well trained professionals!!</t>
        </is>
      </c>
      <c r="G400" s="59" t="inlineStr">
        <is>
          <t>Very happy to book from Yesmadam as the service provided was great! Well trained professional! Will definitely book again and keep up the good work team Yesmadam!!</t>
        </is>
      </c>
      <c r="H400" s="9" t="inlineStr">
        <is>
          <t>praise</t>
        </is>
      </c>
      <c r="I400" s="9" t="inlineStr">
        <is>
          <t>praise_professional</t>
        </is>
      </c>
      <c r="J400" s="9" t="inlineStr"/>
      <c r="K400" s="9" t="inlineStr">
        <is>
          <t>no</t>
        </is>
      </c>
      <c r="L400" s="9" t="inlineStr">
        <is>
          <t>no</t>
        </is>
      </c>
      <c r="M400" s="9" t="inlineStr">
        <is>
          <t>none</t>
        </is>
      </c>
      <c r="N400" s="9" t="inlineStr">
        <is>
          <t>no</t>
        </is>
      </c>
      <c r="O400" s="9" t="inlineStr">
        <is>
          <t>unknown</t>
        </is>
      </c>
      <c r="P400" s="9" t="inlineStr"/>
      <c r="Q400" s="9" t="n">
        <v>0</v>
      </c>
      <c r="R400" s="59" t="inlineStr">
        <is>
          <t>Very happy to book from Yesmadam as the service provided was great! Well trained professional! Will definitely book again</t>
        </is>
      </c>
      <c r="S400" s="9" t="inlineStr">
        <is>
          <t>praise</t>
        </is>
      </c>
      <c r="T400" s="9" t="inlineStr">
        <is>
          <t>praise</t>
        </is>
      </c>
      <c r="U400" s="59" t="inlineStr"/>
    </row>
    <row r="401">
      <c r="A401" s="9" t="n">
        <v>400</v>
      </c>
      <c r="B401" s="58" t="n">
        <v>46220</v>
      </c>
      <c r="C401" s="9" t="str">
        <f>TEXT(B401,"yyyy-mm")</f>
        <v>2026-07</v>
      </c>
      <c r="D401" s="9" t="n">
        <v>5</v>
      </c>
      <c r="E401" s="9" t="inlineStr">
        <is>
          <t>18.5.0</t>
        </is>
      </c>
      <c r="F401" s="59" t="inlineStr">
        <is>
          <t>Good app</t>
        </is>
      </c>
      <c r="G401" s="59" t="inlineStr">
        <is>
          <t>Good app</t>
        </is>
      </c>
      <c r="H401" s="9" t="inlineStr">
        <is>
          <t>praise</t>
        </is>
      </c>
      <c r="I401" s="9" t="inlineStr">
        <is>
          <t>praise_service</t>
        </is>
      </c>
      <c r="J401" s="9" t="inlineStr"/>
      <c r="K401" s="9" t="inlineStr">
        <is>
          <t>no</t>
        </is>
      </c>
      <c r="L401" s="9" t="inlineStr">
        <is>
          <t>no</t>
        </is>
      </c>
      <c r="M401" s="9" t="inlineStr">
        <is>
          <t>none</t>
        </is>
      </c>
      <c r="N401" s="9" t="inlineStr">
        <is>
          <t>no</t>
        </is>
      </c>
      <c r="O401" s="9" t="inlineStr">
        <is>
          <t>unknown</t>
        </is>
      </c>
      <c r="P401" s="9" t="inlineStr"/>
      <c r="Q401" s="9" t="n">
        <v>0</v>
      </c>
      <c r="R401" s="59" t="inlineStr">
        <is>
          <t>Good app</t>
        </is>
      </c>
      <c r="S401" s="9" t="inlineStr">
        <is>
          <t>praise</t>
        </is>
      </c>
      <c r="T401" s="9" t="inlineStr">
        <is>
          <t>praise</t>
        </is>
      </c>
      <c r="U401" s="59" t="inlineStr"/>
    </row>
    <row r="402">
      <c r="A402" s="9" t="n">
        <v>401</v>
      </c>
      <c r="B402" s="58" t="n">
        <v>46220</v>
      </c>
      <c r="C402" s="9" t="str">
        <f>TEXT(B402,"yyyy-mm")</f>
        <v>2026-07</v>
      </c>
      <c r="D402" s="9" t="n">
        <v>5</v>
      </c>
      <c r="E402" s="9" t="inlineStr">
        <is>
          <t>18.5.0</t>
        </is>
      </c>
      <c r="F402" s="59" t="inlineStr">
        <is>
          <t>Very satisfactory service</t>
        </is>
      </c>
      <c r="G402" s="59" t="inlineStr">
        <is>
          <t>I got my service from [name] and i must say everyone should get a change for her service. One of the best person and her expertise is 
very professional.</t>
        </is>
      </c>
      <c r="H402" s="9" t="inlineStr">
        <is>
          <t>praise</t>
        </is>
      </c>
      <c r="I402" s="9" t="inlineStr">
        <is>
          <t>praise_professional</t>
        </is>
      </c>
      <c r="J402" s="9" t="inlineStr"/>
      <c r="K402" s="9" t="inlineStr">
        <is>
          <t>no</t>
        </is>
      </c>
      <c r="L402" s="9" t="inlineStr">
        <is>
          <t>no</t>
        </is>
      </c>
      <c r="M402" s="9" t="inlineStr">
        <is>
          <t>none</t>
        </is>
      </c>
      <c r="N402" s="9" t="inlineStr">
        <is>
          <t>no</t>
        </is>
      </c>
      <c r="O402" s="9" t="inlineStr">
        <is>
          <t>unknown</t>
        </is>
      </c>
      <c r="P402" s="9" t="inlineStr"/>
      <c r="Q402" s="9" t="n">
        <v>0</v>
      </c>
      <c r="R402" s="59" t="inlineStr">
        <is>
          <t>everyone should get a change for her service. One of the best person and her expertise is very professional.</t>
        </is>
      </c>
      <c r="S402" s="9" t="inlineStr">
        <is>
          <t>praise</t>
        </is>
      </c>
      <c r="T402" s="9" t="inlineStr">
        <is>
          <t>praise</t>
        </is>
      </c>
      <c r="U402" s="59" t="inlineStr"/>
    </row>
    <row r="403">
      <c r="A403" s="9" t="n">
        <v>402</v>
      </c>
      <c r="B403" s="58" t="n">
        <v>46219</v>
      </c>
      <c r="C403" s="9" t="str">
        <f>TEXT(B403,"yyyy-mm")</f>
        <v>2026-07</v>
      </c>
      <c r="D403" s="9" t="n">
        <v>4</v>
      </c>
      <c r="E403" s="9" t="inlineStr">
        <is>
          <t>18.5.0</t>
        </is>
      </c>
      <c r="F403" s="59" t="inlineStr">
        <is>
          <t>[name]</t>
        </is>
      </c>
      <c r="G403" s="59" t="inlineStr">
        <is>
          <t>Nice great service but u choose a. One partner regular</t>
        </is>
      </c>
      <c r="H403" s="9" t="inlineStr">
        <is>
          <t>other</t>
        </is>
      </c>
      <c r="I403" s="9" t="inlineStr">
        <is>
          <t>other_issue</t>
        </is>
      </c>
      <c r="J403" s="9" t="inlineStr"/>
      <c r="K403" s="9" t="inlineStr">
        <is>
          <t>no</t>
        </is>
      </c>
      <c r="L403" s="9" t="inlineStr">
        <is>
          <t>no</t>
        </is>
      </c>
      <c r="M403" s="9" t="inlineStr">
        <is>
          <t>low</t>
        </is>
      </c>
      <c r="N403" s="9" t="inlineStr">
        <is>
          <t>no</t>
        </is>
      </c>
      <c r="O403" s="9" t="inlineStr">
        <is>
          <t>unknown</t>
        </is>
      </c>
      <c r="P403" s="9" t="inlineStr"/>
      <c r="Q403" s="9" t="n">
        <v>0</v>
      </c>
      <c r="R403" s="59" t="inlineStr">
        <is>
          <t>Nice great service but u choose a. One partner regular</t>
        </is>
      </c>
      <c r="S403" s="9" t="inlineStr">
        <is>
          <t>other</t>
        </is>
      </c>
      <c r="T403" s="9" t="inlineStr">
        <is>
          <t>other</t>
        </is>
      </c>
      <c r="U403" s="59" t="inlineStr"/>
    </row>
    <row r="404">
      <c r="A404" s="9" t="n">
        <v>403</v>
      </c>
      <c r="B404" s="58" t="n">
        <v>46219</v>
      </c>
      <c r="C404" s="9" t="str">
        <f>TEXT(B404,"yyyy-mm")</f>
        <v>2026-07</v>
      </c>
      <c r="D404" s="9" t="n">
        <v>5</v>
      </c>
      <c r="E404" s="9" t="inlineStr">
        <is>
          <t>18.5.0</t>
        </is>
      </c>
      <c r="F404" s="59" t="inlineStr">
        <is>
          <t>Great service</t>
        </is>
      </c>
      <c r="G404" s="59" t="inlineStr">
        <is>
          <t>I had a wonderful experience with [name]. She did my cleanup and waxing with great care and professionalism. She was gentle, attentive, and made me feel comfortable throughout the session. The cleanup left my skin feeling fresh and glowing, and the waxing was neat and as comfortable as possible. I'm very happy with the service and would definitely recommend her.</t>
        </is>
      </c>
      <c r="H404" s="9" t="inlineStr">
        <is>
          <t>praise</t>
        </is>
      </c>
      <c r="I404" s="9" t="inlineStr">
        <is>
          <t>praise_professional</t>
        </is>
      </c>
      <c r="J404" s="9" t="inlineStr"/>
      <c r="K404" s="9" t="inlineStr">
        <is>
          <t>no</t>
        </is>
      </c>
      <c r="L404" s="9" t="inlineStr">
        <is>
          <t>no</t>
        </is>
      </c>
      <c r="M404" s="9" t="inlineStr">
        <is>
          <t>none</t>
        </is>
      </c>
      <c r="N404" s="9" t="inlineStr">
        <is>
          <t>no</t>
        </is>
      </c>
      <c r="O404" s="9" t="inlineStr">
        <is>
          <t>multiple</t>
        </is>
      </c>
      <c r="P404" s="9" t="inlineStr"/>
      <c r="Q404" s="9" t="n">
        <v>0</v>
      </c>
      <c r="R404" s="59" t="inlineStr">
        <is>
          <t>I had a wonderful experience with [name]. She did my cleanup and waxing with great care and professionalism.</t>
        </is>
      </c>
      <c r="S404" s="9" t="inlineStr">
        <is>
          <t>praise</t>
        </is>
      </c>
      <c r="T404" s="9" t="inlineStr">
        <is>
          <t>praise</t>
        </is>
      </c>
      <c r="U404" s="59" t="inlineStr"/>
    </row>
    <row r="405">
      <c r="A405" s="9" t="n">
        <v>404</v>
      </c>
      <c r="B405" s="58" t="n">
        <v>46219</v>
      </c>
      <c r="C405" s="9" t="str">
        <f>TEXT(B405,"yyyy-mm")</f>
        <v>2026-07</v>
      </c>
      <c r="D405" s="9" t="n">
        <v>1</v>
      </c>
      <c r="E405" s="9" t="inlineStr">
        <is>
          <t>18.5.0</t>
        </is>
      </c>
      <c r="F405" s="59" t="inlineStr">
        <is>
          <t>Totally Wasted</t>
        </is>
      </c>
      <c r="G405" s="59" t="inlineStr">
        <is>
          <t>Wast of money waste of time</t>
        </is>
      </c>
      <c r="H405" s="9" t="inlineStr">
        <is>
          <t>other</t>
        </is>
      </c>
      <c r="I405" s="9" t="inlineStr">
        <is>
          <t>unclear</t>
        </is>
      </c>
      <c r="J405" s="9" t="inlineStr"/>
      <c r="K405" s="9" t="inlineStr">
        <is>
          <t>no</t>
        </is>
      </c>
      <c r="L405" s="9" t="inlineStr">
        <is>
          <t>no</t>
        </is>
      </c>
      <c r="M405" s="9" t="inlineStr">
        <is>
          <t>low</t>
        </is>
      </c>
      <c r="N405" s="9" t="inlineStr">
        <is>
          <t>no</t>
        </is>
      </c>
      <c r="O405" s="9" t="inlineStr">
        <is>
          <t>unknown</t>
        </is>
      </c>
      <c r="P405" s="9" t="inlineStr"/>
      <c r="Q405" s="9" t="n">
        <v>0</v>
      </c>
      <c r="R405" s="59" t="inlineStr">
        <is>
          <t>Wast of money waste of time</t>
        </is>
      </c>
      <c r="S405" s="9" t="inlineStr">
        <is>
          <t>other</t>
        </is>
      </c>
      <c r="T405" s="9" t="inlineStr">
        <is>
          <t>other</t>
        </is>
      </c>
      <c r="U405" s="59" t="inlineStr"/>
    </row>
    <row r="406">
      <c r="A406" s="9" t="n">
        <v>405</v>
      </c>
      <c r="B406" s="58" t="n">
        <v>46219</v>
      </c>
      <c r="C406" s="9" t="str">
        <f>TEXT(B406,"yyyy-mm")</f>
        <v>2026-07</v>
      </c>
      <c r="D406" s="9" t="n">
        <v>1</v>
      </c>
      <c r="E406" s="9" t="inlineStr">
        <is>
          <t>18.5.0</t>
        </is>
      </c>
      <c r="F406" s="59" t="inlineStr">
        <is>
          <t>Unprofessional service booking from yes madam is wasting of time</t>
        </is>
      </c>
      <c r="G406" s="59" t="inlineStr">
        <is>
          <t>This is the third time experience I got where professional was assigned and then just before an hour or 15-20 mins before you get call from their support team and they asked to reschedule your booking as the service professional isn't available! Literally, I always took a leave from my work to get the service done and its a 3rd time where I completely wasted my day again by doing booking from yes madam!! Prices are low for sure hut nit really cheap!!
Unprofessional service and service provider, their experts never maintained hygien at all, used previous customer wax to do my bikini. Dont even understand how this company is still alive it should get shut!! They are simply wasting time and money of others and pampering ka to namonishan nahi hota hai!</t>
        </is>
      </c>
      <c r="H406" s="9" t="inlineStr">
        <is>
          <t>partner_cancellation</t>
        </is>
      </c>
      <c r="I406" s="9" t="inlineStr">
        <is>
          <t>repeated_reschedule</t>
        </is>
      </c>
      <c r="J406" s="9" t="inlineStr">
        <is>
          <t>service_quality</t>
        </is>
      </c>
      <c r="K406" s="9" t="inlineStr">
        <is>
          <t>no</t>
        </is>
      </c>
      <c r="L406" s="9" t="inlineStr">
        <is>
          <t>no</t>
        </is>
      </c>
      <c r="M406" s="9" t="inlineStr">
        <is>
          <t>medium</t>
        </is>
      </c>
      <c r="N406" s="9" t="inlineStr">
        <is>
          <t>no</t>
        </is>
      </c>
      <c r="O406" s="9" t="inlineStr">
        <is>
          <t>waxing</t>
        </is>
      </c>
      <c r="P406" s="9" t="inlineStr"/>
      <c r="Q406" s="9" t="n">
        <v>0</v>
      </c>
      <c r="R406" s="59" t="inlineStr">
        <is>
          <t>professional was assigned and then just before an hour or 15-20 mins before you get call from their support team and they asked to reschedule</t>
        </is>
      </c>
      <c r="S406" s="9" t="inlineStr">
        <is>
          <t>partner_cancellation</t>
        </is>
      </c>
      <c r="T406" s="9" t="inlineStr">
        <is>
          <t>partner_cancellation</t>
        </is>
      </c>
      <c r="U406" s="59" t="inlineStr"/>
    </row>
    <row r="407">
      <c r="A407" s="9" t="n">
        <v>406</v>
      </c>
      <c r="B407" s="58" t="n">
        <v>46219</v>
      </c>
      <c r="C407" s="9" t="str">
        <f>TEXT(B407,"yyyy-mm")</f>
        <v>2026-07</v>
      </c>
      <c r="D407" s="9" t="n">
        <v>1</v>
      </c>
      <c r="E407" s="9" t="inlineStr">
        <is>
          <t>18.5.0</t>
        </is>
      </c>
      <c r="F407" s="59" t="inlineStr">
        <is>
          <t>Do not trust them with service or accountability</t>
        </is>
      </c>
      <c r="G407" s="59" t="inlineStr">
        <is>
          <t>App is so frustrating and bringing new policies every time you have complaints. When the service gave me burns that lasted for a week and hurriedly ended. I complained on the customer care line and was told will be refunded in my bank account. The trap is they sent it to wallet which you cannot redeem at once even though it has expiring balance. No one is responding clearly and just blaming policies left to right. Even the app shuts off saying no internet when the device has internet and notifications coming.</t>
        </is>
      </c>
      <c r="H407" s="9" t="inlineStr">
        <is>
          <t>service_quality</t>
        </is>
      </c>
      <c r="I407" s="9" t="inlineStr">
        <is>
          <t>skin_injury_or_reaction</t>
        </is>
      </c>
      <c r="J407" s="9" t="inlineStr">
        <is>
          <t>payment_refund, support, app</t>
        </is>
      </c>
      <c r="K407" s="9" t="inlineStr">
        <is>
          <t>yes</t>
        </is>
      </c>
      <c r="L407" s="9" t="inlineStr">
        <is>
          <t>yes</t>
        </is>
      </c>
      <c r="M407" s="9" t="inlineStr">
        <is>
          <t>high</t>
        </is>
      </c>
      <c r="N407" s="9" t="inlineStr">
        <is>
          <t>no</t>
        </is>
      </c>
      <c r="O407" s="9" t="inlineStr">
        <is>
          <t>unknown</t>
        </is>
      </c>
      <c r="P407" s="9" t="inlineStr"/>
      <c r="Q407" s="9" t="n">
        <v>0</v>
      </c>
      <c r="R407" s="59" t="inlineStr">
        <is>
          <t>When the service gave me burns that lasted for a week and hurriedly ended.</t>
        </is>
      </c>
      <c r="S407" s="9" t="inlineStr">
        <is>
          <t>service_quality</t>
        </is>
      </c>
      <c r="T407" s="9" t="inlineStr">
        <is>
          <t>service_quality</t>
        </is>
      </c>
      <c r="U407" s="59" t="inlineStr"/>
    </row>
    <row r="408">
      <c r="A408" s="9" t="n">
        <v>407</v>
      </c>
      <c r="B408" s="58" t="n">
        <v>46219</v>
      </c>
      <c r="C408" s="9" t="str">
        <f>TEXT(B408,"yyyy-mm")</f>
        <v>2026-07</v>
      </c>
      <c r="D408" s="9" t="n">
        <v>1</v>
      </c>
      <c r="E408" s="9" t="inlineStr">
        <is>
          <t>18.5.0</t>
        </is>
      </c>
      <c r="F408" s="59" t="inlineStr">
        <is>
          <t>Pathetic service</t>
        </is>
      </c>
      <c r="G408" s="59" t="inlineStr">
        <is>
          <t>Horrible services and over priced. UB COMPANY IS much better</t>
        </is>
      </c>
      <c r="H408" s="9" t="inlineStr">
        <is>
          <t>other</t>
        </is>
      </c>
      <c r="I408" s="9" t="inlineStr">
        <is>
          <t>unclear</t>
        </is>
      </c>
      <c r="J408" s="9" t="inlineStr"/>
      <c r="K408" s="9" t="inlineStr">
        <is>
          <t>no</t>
        </is>
      </c>
      <c r="L408" s="9" t="inlineStr">
        <is>
          <t>no</t>
        </is>
      </c>
      <c r="M408" s="9" t="inlineStr">
        <is>
          <t>low</t>
        </is>
      </c>
      <c r="N408" s="9" t="inlineStr">
        <is>
          <t>yes</t>
        </is>
      </c>
      <c r="O408" s="9" t="inlineStr">
        <is>
          <t>unknown</t>
        </is>
      </c>
      <c r="P408" s="9" t="inlineStr"/>
      <c r="Q408" s="9" t="n">
        <v>0</v>
      </c>
      <c r="R408" s="59" t="inlineStr">
        <is>
          <t>Horrible services and over priced. UB COMPANY IS much better</t>
        </is>
      </c>
      <c r="S408" s="9" t="inlineStr">
        <is>
          <t>other</t>
        </is>
      </c>
      <c r="T408" s="9" t="inlineStr">
        <is>
          <t>other</t>
        </is>
      </c>
      <c r="U408" s="59" t="inlineStr"/>
    </row>
    <row r="409">
      <c r="A409" s="9" t="n">
        <v>408</v>
      </c>
      <c r="B409" s="58" t="n">
        <v>46218</v>
      </c>
      <c r="C409" s="9" t="str">
        <f>TEXT(B409,"yyyy-mm")</f>
        <v>2026-07</v>
      </c>
      <c r="D409" s="9" t="n">
        <v>1</v>
      </c>
      <c r="E409" s="9" t="inlineStr">
        <is>
          <t>18.2.0</t>
        </is>
      </c>
      <c r="F409" s="59" t="inlineStr">
        <is>
          <t>Slow app</t>
        </is>
      </c>
      <c r="G409" s="59" t="inlineStr">
        <is>
          <t>Why the hell is this app so slow</t>
        </is>
      </c>
      <c r="H409" s="9" t="inlineStr">
        <is>
          <t>app</t>
        </is>
      </c>
      <c r="I409" s="9" t="inlineStr">
        <is>
          <t>other_app</t>
        </is>
      </c>
      <c r="J409" s="9" t="inlineStr"/>
      <c r="K409" s="9" t="inlineStr">
        <is>
          <t>no</t>
        </is>
      </c>
      <c r="L409" s="9" t="inlineStr">
        <is>
          <t>no</t>
        </is>
      </c>
      <c r="M409" s="9" t="inlineStr">
        <is>
          <t>low</t>
        </is>
      </c>
      <c r="N409" s="9" t="inlineStr">
        <is>
          <t>no</t>
        </is>
      </c>
      <c r="O409" s="9" t="inlineStr">
        <is>
          <t>unknown</t>
        </is>
      </c>
      <c r="P409" s="9" t="inlineStr"/>
      <c r="Q409" s="9" t="n">
        <v>0</v>
      </c>
      <c r="R409" s="59" t="inlineStr">
        <is>
          <t>Why the hell is this app so slow</t>
        </is>
      </c>
      <c r="S409" s="9" t="inlineStr">
        <is>
          <t>app</t>
        </is>
      </c>
      <c r="T409" s="9" t="inlineStr">
        <is>
          <t>app</t>
        </is>
      </c>
      <c r="U409" s="59" t="inlineStr"/>
    </row>
    <row r="410">
      <c r="A410" s="9" t="n">
        <v>409</v>
      </c>
      <c r="B410" s="58" t="n">
        <v>46217</v>
      </c>
      <c r="C410" s="9" t="str">
        <f>TEXT(B410,"yyyy-mm")</f>
        <v>2026-07</v>
      </c>
      <c r="D410" s="9" t="n">
        <v>1</v>
      </c>
      <c r="E410" s="9" t="inlineStr">
        <is>
          <t>18.2.0</t>
        </is>
      </c>
      <c r="F410" s="59" t="inlineStr">
        <is>
          <t>No professionalism</t>
        </is>
      </c>
      <c r="G410" s="59" t="inlineStr">
        <is>
          <t>Booked for Spa for 7:30pm, it was 8pm still the person didn’t reached and later on switched off the mobile…don’t book them…urban company reaches 15mins before time</t>
        </is>
      </c>
      <c r="H410" s="9" t="inlineStr">
        <is>
          <t>partner_cancellation</t>
        </is>
      </c>
      <c r="I410" s="9" t="inlineStr">
        <is>
          <t>no_show</t>
        </is>
      </c>
      <c r="J410" s="9" t="inlineStr">
        <is>
          <t>delay</t>
        </is>
      </c>
      <c r="K410" s="9" t="inlineStr">
        <is>
          <t>no</t>
        </is>
      </c>
      <c r="L410" s="9" t="inlineStr">
        <is>
          <t>no</t>
        </is>
      </c>
      <c r="M410" s="9" t="inlineStr">
        <is>
          <t>medium</t>
        </is>
      </c>
      <c r="N410" s="9" t="inlineStr">
        <is>
          <t>yes</t>
        </is>
      </c>
      <c r="O410" s="9" t="inlineStr">
        <is>
          <t>massage_spa</t>
        </is>
      </c>
      <c r="P410" s="9" t="inlineStr"/>
      <c r="Q410" s="9" t="n">
        <v>0</v>
      </c>
      <c r="R410" s="59" t="inlineStr">
        <is>
          <t>Booked for Spa for 7:30pm, it was 8pm still the person didn’t reached and later on switched off the mobile</t>
        </is>
      </c>
      <c r="S410" s="9" t="inlineStr">
        <is>
          <t>partner_cancellation</t>
        </is>
      </c>
      <c r="T410" s="9" t="inlineStr">
        <is>
          <t>partner_cancellation</t>
        </is>
      </c>
      <c r="U410" s="59" t="inlineStr"/>
    </row>
    <row r="411">
      <c r="A411" s="9" t="n">
        <v>410</v>
      </c>
      <c r="B411" s="58" t="n">
        <v>46217</v>
      </c>
      <c r="C411" s="9" t="str">
        <f>TEXT(B411,"yyyy-mm")</f>
        <v>2026-07</v>
      </c>
      <c r="D411" s="9" t="n">
        <v>1</v>
      </c>
      <c r="E411" s="9" t="inlineStr">
        <is>
          <t>18.2.0</t>
        </is>
      </c>
      <c r="F411" s="59" t="inlineStr">
        <is>
          <t>Feel cheated</t>
        </is>
      </c>
      <c r="G411" s="59" t="inlineStr">
        <is>
          <t>Very poor customer support experience …even after filing multiple complaints no one has reached out for resolutions and only a missed call comes and the ticket closes saying that it no one responded after multiple attempts… they use expired and cheap quality products  which gv me rashes on face and now no one is responding also to complaints in customer service. They closing the ticket again n again after giving a miss call. That is completely inappropriate and unprofessional behaviour and i feel cheated now. Pls don’t download or use this service if u care for urself</t>
        </is>
      </c>
      <c r="H411" s="9" t="inlineStr">
        <is>
          <t>product_fit</t>
        </is>
      </c>
      <c r="I411" s="9" t="inlineStr">
        <is>
          <t>product_reaction</t>
        </is>
      </c>
      <c r="J411" s="9" t="inlineStr">
        <is>
          <t>support</t>
        </is>
      </c>
      <c r="K411" s="9" t="inlineStr">
        <is>
          <t>yes</t>
        </is>
      </c>
      <c r="L411" s="9" t="inlineStr">
        <is>
          <t>yes</t>
        </is>
      </c>
      <c r="M411" s="9" t="inlineStr">
        <is>
          <t>high</t>
        </is>
      </c>
      <c r="N411" s="9" t="inlineStr">
        <is>
          <t>no</t>
        </is>
      </c>
      <c r="O411" s="9" t="inlineStr">
        <is>
          <t>unknown</t>
        </is>
      </c>
      <c r="P411" s="9" t="inlineStr"/>
      <c r="Q411" s="9" t="n">
        <v>0</v>
      </c>
      <c r="R411" s="59" t="inlineStr">
        <is>
          <t>they use expired and cheap quality products which gv me rashes on face and now no one is responding</t>
        </is>
      </c>
      <c r="S411" s="9" t="inlineStr">
        <is>
          <t>product_fit</t>
        </is>
      </c>
      <c r="T411" s="9" t="inlineStr">
        <is>
          <t>product_fit</t>
        </is>
      </c>
      <c r="U411" s="59" t="inlineStr"/>
    </row>
    <row r="412">
      <c r="A412" s="9" t="n">
        <v>411</v>
      </c>
      <c r="B412" s="58" t="n">
        <v>46217</v>
      </c>
      <c r="C412" s="9" t="str">
        <f>TEXT(B412,"yyyy-mm")</f>
        <v>2026-07</v>
      </c>
      <c r="D412" s="9" t="n">
        <v>5</v>
      </c>
      <c r="E412" s="9" t="inlineStr">
        <is>
          <t>18.2.0</t>
        </is>
      </c>
      <c r="F412" s="59" t="inlineStr">
        <is>
          <t>Excellent service</t>
        </is>
      </c>
      <c r="G412" s="59" t="inlineStr">
        <is>
          <t>I love how affordable it is, plus the service is so professional. Glad I opted for YesMadam :)</t>
        </is>
      </c>
      <c r="H412" s="9" t="inlineStr">
        <is>
          <t>praise</t>
        </is>
      </c>
      <c r="I412" s="9" t="inlineStr">
        <is>
          <t>praise_value</t>
        </is>
      </c>
      <c r="J412" s="9" t="inlineStr"/>
      <c r="K412" s="9" t="inlineStr">
        <is>
          <t>no</t>
        </is>
      </c>
      <c r="L412" s="9" t="inlineStr">
        <is>
          <t>no</t>
        </is>
      </c>
      <c r="M412" s="9" t="inlineStr">
        <is>
          <t>none</t>
        </is>
      </c>
      <c r="N412" s="9" t="inlineStr">
        <is>
          <t>no</t>
        </is>
      </c>
      <c r="O412" s="9" t="inlineStr">
        <is>
          <t>unknown</t>
        </is>
      </c>
      <c r="P412" s="9" t="inlineStr"/>
      <c r="Q412" s="9" t="n">
        <v>0</v>
      </c>
      <c r="R412" s="59" t="inlineStr">
        <is>
          <t>I love how affordable it is, plus the service is so professional. Glad I opted for YesMadam</t>
        </is>
      </c>
      <c r="S412" s="9" t="inlineStr">
        <is>
          <t>praise</t>
        </is>
      </c>
      <c r="T412" s="9" t="inlineStr">
        <is>
          <t>praise</t>
        </is>
      </c>
      <c r="U412" s="59" t="inlineStr"/>
    </row>
    <row r="413">
      <c r="A413" s="9" t="n">
        <v>412</v>
      </c>
      <c r="B413" s="58" t="n">
        <v>46217</v>
      </c>
      <c r="C413" s="9" t="str">
        <f>TEXT(B413,"yyyy-mm")</f>
        <v>2026-07</v>
      </c>
      <c r="D413" s="9" t="n">
        <v>2</v>
      </c>
      <c r="E413" s="9" t="inlineStr">
        <is>
          <t>18.2.0</t>
        </is>
      </c>
      <c r="F413" s="59" t="inlineStr">
        <is>
          <t>Concern</t>
        </is>
      </c>
      <c r="G413" s="59" t="inlineStr">
        <is>
          <t>Had to reschedule 2times as the earlier  assigned professional  didn’t have the product . Inspire of changing the services still the product was not available with the professional .  Wasted my time</t>
        </is>
      </c>
      <c r="H413" s="9" t="inlineStr">
        <is>
          <t>product_fit</t>
        </is>
      </c>
      <c r="I413" s="9" t="inlineStr">
        <is>
          <t>missing_or_wrong_products</t>
        </is>
      </c>
      <c r="J413" s="9" t="inlineStr">
        <is>
          <t>partner_cancellation</t>
        </is>
      </c>
      <c r="K413" s="9" t="inlineStr">
        <is>
          <t>no</t>
        </is>
      </c>
      <c r="L413" s="9" t="inlineStr">
        <is>
          <t>no</t>
        </is>
      </c>
      <c r="M413" s="9" t="inlineStr">
        <is>
          <t>medium</t>
        </is>
      </c>
      <c r="N413" s="9" t="inlineStr">
        <is>
          <t>no</t>
        </is>
      </c>
      <c r="O413" s="9" t="inlineStr">
        <is>
          <t>unknown</t>
        </is>
      </c>
      <c r="P413" s="9" t="inlineStr"/>
      <c r="Q413" s="9" t="n">
        <v>0</v>
      </c>
      <c r="R413" s="59" t="inlineStr">
        <is>
          <t>Had to reschedule 2times as the earlier assigned professional didn’t have the product</t>
        </is>
      </c>
      <c r="S413" s="9" t="inlineStr">
        <is>
          <t>product_fit</t>
        </is>
      </c>
      <c r="T413" s="9" t="inlineStr">
        <is>
          <t>product_fit</t>
        </is>
      </c>
      <c r="U413" s="59" t="inlineStr"/>
    </row>
    <row r="414">
      <c r="A414" s="9" t="n">
        <v>413</v>
      </c>
      <c r="B414" s="58" t="n">
        <v>46216</v>
      </c>
      <c r="C414" s="9" t="str">
        <f>TEXT(B414,"yyyy-mm")</f>
        <v>2026-07</v>
      </c>
      <c r="D414" s="9" t="n">
        <v>5</v>
      </c>
      <c r="E414" s="9" t="inlineStr">
        <is>
          <t>18.2.0</t>
        </is>
      </c>
      <c r="F414" s="59" t="inlineStr">
        <is>
          <t>Good professional service</t>
        </is>
      </c>
      <c r="G414" s="59" t="inlineStr">
        <is>
          <t>I took service from [name] she is very good with her work and knowledge of pressure point</t>
        </is>
      </c>
      <c r="H414" s="9" t="inlineStr">
        <is>
          <t>praise</t>
        </is>
      </c>
      <c r="I414" s="9" t="inlineStr">
        <is>
          <t>praise_professional</t>
        </is>
      </c>
      <c r="J414" s="9" t="inlineStr"/>
      <c r="K414" s="9" t="inlineStr">
        <is>
          <t>no</t>
        </is>
      </c>
      <c r="L414" s="9" t="inlineStr">
        <is>
          <t>no</t>
        </is>
      </c>
      <c r="M414" s="9" t="inlineStr">
        <is>
          <t>none</t>
        </is>
      </c>
      <c r="N414" s="9" t="inlineStr">
        <is>
          <t>no</t>
        </is>
      </c>
      <c r="O414" s="9" t="inlineStr">
        <is>
          <t>massage_spa</t>
        </is>
      </c>
      <c r="P414" s="9" t="inlineStr"/>
      <c r="Q414" s="9" t="n">
        <v>0</v>
      </c>
      <c r="R414" s="59" t="inlineStr">
        <is>
          <t>I took service from [name] she is very good with her work and knowledge of pressure point</t>
        </is>
      </c>
      <c r="S414" s="9" t="inlineStr">
        <is>
          <t>praise</t>
        </is>
      </c>
      <c r="T414" s="9" t="inlineStr">
        <is>
          <t>praise</t>
        </is>
      </c>
      <c r="U414" s="59" t="inlineStr"/>
    </row>
    <row r="415">
      <c r="A415" s="9" t="n">
        <v>414</v>
      </c>
      <c r="B415" s="58" t="n">
        <v>46216</v>
      </c>
      <c r="C415" s="9" t="str">
        <f>TEXT(B415,"yyyy-mm")</f>
        <v>2026-07</v>
      </c>
      <c r="D415" s="9" t="n">
        <v>4</v>
      </c>
      <c r="E415" s="9" t="inlineStr">
        <is>
          <t>18.2.0</t>
        </is>
      </c>
      <c r="F415" s="59" t="inlineStr">
        <is>
          <t>Prices are little higher side</t>
        </is>
      </c>
      <c r="G415" s="59" t="inlineStr">
        <is>
          <t>Prices are more</t>
        </is>
      </c>
      <c r="H415" s="9" t="inlineStr">
        <is>
          <t>other</t>
        </is>
      </c>
      <c r="I415" s="9" t="inlineStr">
        <is>
          <t>other_issue</t>
        </is>
      </c>
      <c r="J415" s="9" t="inlineStr"/>
      <c r="K415" s="9" t="inlineStr">
        <is>
          <t>no</t>
        </is>
      </c>
      <c r="L415" s="9" t="inlineStr">
        <is>
          <t>no</t>
        </is>
      </c>
      <c r="M415" s="9" t="inlineStr">
        <is>
          <t>low</t>
        </is>
      </c>
      <c r="N415" s="9" t="inlineStr">
        <is>
          <t>no</t>
        </is>
      </c>
      <c r="O415" s="9" t="inlineStr">
        <is>
          <t>unknown</t>
        </is>
      </c>
      <c r="P415" s="9" t="inlineStr"/>
      <c r="Q415" s="9" t="n">
        <v>0</v>
      </c>
      <c r="R415" s="59" t="inlineStr">
        <is>
          <t>Prices are little higher side | Prices are more</t>
        </is>
      </c>
      <c r="S415" s="9" t="inlineStr">
        <is>
          <t>other</t>
        </is>
      </c>
      <c r="T415" s="9" t="inlineStr">
        <is>
          <t>other</t>
        </is>
      </c>
      <c r="U415" s="59" t="inlineStr"/>
    </row>
    <row r="416">
      <c r="A416" s="9" t="n">
        <v>415</v>
      </c>
      <c r="B416" s="58" t="n">
        <v>46216</v>
      </c>
      <c r="C416" s="9" t="str">
        <f>TEXT(B416,"yyyy-mm")</f>
        <v>2026-07</v>
      </c>
      <c r="D416" s="9" t="n">
        <v>5</v>
      </c>
      <c r="E416" s="9" t="inlineStr">
        <is>
          <t>18.2.0</t>
        </is>
      </c>
      <c r="F416" s="59" t="inlineStr">
        <is>
          <t>hydra facial</t>
        </is>
      </c>
      <c r="G416" s="59" t="inlineStr">
        <is>
          <t>[name] has given a very relaxing service</t>
        </is>
      </c>
      <c r="H416" s="9" t="inlineStr">
        <is>
          <t>praise</t>
        </is>
      </c>
      <c r="I416" s="9" t="inlineStr">
        <is>
          <t>praise_professional</t>
        </is>
      </c>
      <c r="J416" s="9" t="inlineStr"/>
      <c r="K416" s="9" t="inlineStr">
        <is>
          <t>no</t>
        </is>
      </c>
      <c r="L416" s="9" t="inlineStr">
        <is>
          <t>no</t>
        </is>
      </c>
      <c r="M416" s="9" t="inlineStr">
        <is>
          <t>none</t>
        </is>
      </c>
      <c r="N416" s="9" t="inlineStr">
        <is>
          <t>no</t>
        </is>
      </c>
      <c r="O416" s="9" t="inlineStr">
        <is>
          <t>facial_cleanup</t>
        </is>
      </c>
      <c r="P416" s="9" t="inlineStr"/>
      <c r="Q416" s="9" t="n">
        <v>0</v>
      </c>
      <c r="R416" s="59" t="inlineStr">
        <is>
          <t>hydra facial | [name] has given a very relaxing service</t>
        </is>
      </c>
      <c r="S416" s="9" t="inlineStr">
        <is>
          <t>praise</t>
        </is>
      </c>
      <c r="T416" s="9" t="inlineStr">
        <is>
          <t>praise</t>
        </is>
      </c>
      <c r="U416" s="59" t="inlineStr"/>
    </row>
    <row r="417">
      <c r="A417" s="9" t="n">
        <v>416</v>
      </c>
      <c r="B417" s="58" t="n">
        <v>46215</v>
      </c>
      <c r="C417" s="9" t="str">
        <f>TEXT(B417,"yyyy-mm")</f>
        <v>2026-07</v>
      </c>
      <c r="D417" s="9" t="n">
        <v>1</v>
      </c>
      <c r="E417" s="9" t="inlineStr">
        <is>
          <t>18.2.0</t>
        </is>
      </c>
      <c r="F417" s="59" t="inlineStr">
        <is>
          <t>Pathetic App and customer support</t>
        </is>
      </c>
      <c r="G417" s="59" t="inlineStr">
        <is>
          <t>Poor quality service and a pathetic app. They have no sense of professionalism or discipline. They accept bookings, keep customers waiting, and then cancel at the last moment. Their customer support representatives are equally pathetic—they don't care whether you cancel the booking or even uninstall the app. In fact, they will ask you to cancel the booking and book the service elsewhere. This is the level of customer support they provide. Do not book through them unless you want to regret it later.</t>
        </is>
      </c>
      <c r="H417" s="9" t="inlineStr">
        <is>
          <t>partner_cancellation</t>
        </is>
      </c>
      <c r="I417" s="9" t="inlineStr">
        <is>
          <t>last_minute_cancel</t>
        </is>
      </c>
      <c r="J417" s="9" t="inlineStr">
        <is>
          <t>support, app</t>
        </is>
      </c>
      <c r="K417" s="9" t="inlineStr">
        <is>
          <t>yes</t>
        </is>
      </c>
      <c r="L417" s="9" t="inlineStr">
        <is>
          <t>yes</t>
        </is>
      </c>
      <c r="M417" s="9" t="inlineStr">
        <is>
          <t>medium</t>
        </is>
      </c>
      <c r="N417" s="9" t="inlineStr">
        <is>
          <t>no</t>
        </is>
      </c>
      <c r="O417" s="9" t="inlineStr">
        <is>
          <t>unknown</t>
        </is>
      </c>
      <c r="P417" s="9" t="inlineStr"/>
      <c r="Q417" s="9" t="n">
        <v>0</v>
      </c>
      <c r="R417" s="59" t="inlineStr">
        <is>
          <t>They accept bookings, keep customers waiting, and then cancel at the last moment.</t>
        </is>
      </c>
      <c r="S417" s="9" t="inlineStr">
        <is>
          <t>partner_cancellation</t>
        </is>
      </c>
      <c r="T417" s="9" t="inlineStr">
        <is>
          <t>partner_cancellation</t>
        </is>
      </c>
      <c r="U417" s="59" t="inlineStr"/>
    </row>
    <row r="418">
      <c r="A418" s="9" t="n">
        <v>417</v>
      </c>
      <c r="B418" s="58" t="n">
        <v>46215</v>
      </c>
      <c r="C418" s="9" t="str">
        <f>TEXT(B418,"yyyy-mm")</f>
        <v>2026-07</v>
      </c>
      <c r="D418" s="9" t="n">
        <v>5</v>
      </c>
      <c r="E418" s="9" t="inlineStr">
        <is>
          <t>18.2.0</t>
        </is>
      </c>
      <c r="F418" s="59" t="inlineStr">
        <is>
          <t>Nice</t>
        </is>
      </c>
      <c r="G418" s="59" t="inlineStr">
        <is>
          <t>It save your time and no need to explore outside any salon or service…</t>
        </is>
      </c>
      <c r="H418" s="9" t="inlineStr">
        <is>
          <t>praise</t>
        </is>
      </c>
      <c r="I418" s="9" t="inlineStr">
        <is>
          <t>praise_service</t>
        </is>
      </c>
      <c r="J418" s="9" t="inlineStr"/>
      <c r="K418" s="9" t="inlineStr">
        <is>
          <t>no</t>
        </is>
      </c>
      <c r="L418" s="9" t="inlineStr">
        <is>
          <t>no</t>
        </is>
      </c>
      <c r="M418" s="9" t="inlineStr">
        <is>
          <t>none</t>
        </is>
      </c>
      <c r="N418" s="9" t="inlineStr">
        <is>
          <t>no</t>
        </is>
      </c>
      <c r="O418" s="9" t="inlineStr">
        <is>
          <t>unknown</t>
        </is>
      </c>
      <c r="P418" s="9" t="inlineStr"/>
      <c r="Q418" s="9" t="n">
        <v>0</v>
      </c>
      <c r="R418" s="59" t="inlineStr">
        <is>
          <t>It save your time and no need to explore outside any salon or service</t>
        </is>
      </c>
      <c r="S418" s="9" t="inlineStr">
        <is>
          <t>praise</t>
        </is>
      </c>
      <c r="T418" s="9" t="inlineStr">
        <is>
          <t>praise</t>
        </is>
      </c>
      <c r="U418" s="59" t="inlineStr"/>
    </row>
    <row r="419">
      <c r="A419" s="9" t="n">
        <v>418</v>
      </c>
      <c r="B419" s="58" t="n">
        <v>46215</v>
      </c>
      <c r="C419" s="9" t="str">
        <f>TEXT(B419,"yyyy-mm")</f>
        <v>2026-07</v>
      </c>
      <c r="D419" s="9" t="n">
        <v>1</v>
      </c>
      <c r="E419" s="9" t="inlineStr">
        <is>
          <t>18.2.0</t>
        </is>
      </c>
      <c r="F419" s="59" t="inlineStr">
        <is>
          <t>Confusing App</t>
        </is>
      </c>
      <c r="G419" s="59" t="inlineStr">
        <is>
          <t>Was going to book Mani Pedi and Threading worth 1100 or less, it somehow kept making the final bill as 1450 with no explanation of the whys’ of it. I think they can’t even work on the billing, won’t trust them for any after service.</t>
        </is>
      </c>
      <c r="H419" s="9" t="inlineStr">
        <is>
          <t>price_clarity</t>
        </is>
      </c>
      <c r="I419" s="9" t="inlineStr">
        <is>
          <t>hidden_charges</t>
        </is>
      </c>
      <c r="J419" s="9" t="inlineStr">
        <is>
          <t>app</t>
        </is>
      </c>
      <c r="K419" s="9" t="inlineStr">
        <is>
          <t>no</t>
        </is>
      </c>
      <c r="L419" s="9" t="inlineStr">
        <is>
          <t>no</t>
        </is>
      </c>
      <c r="M419" s="9" t="inlineStr">
        <is>
          <t>low</t>
        </is>
      </c>
      <c r="N419" s="9" t="inlineStr">
        <is>
          <t>yes</t>
        </is>
      </c>
      <c r="O419" s="9" t="inlineStr">
        <is>
          <t>multiple</t>
        </is>
      </c>
      <c r="P419" s="9" t="inlineStr"/>
      <c r="Q419" s="9" t="n">
        <v>1450</v>
      </c>
      <c r="R419" s="59" t="inlineStr">
        <is>
          <t>Was going to book Mani Pedi and Threading worth 1100 or less, it somehow kept making the final bill as 1450</t>
        </is>
      </c>
      <c r="S419" s="9" t="inlineStr">
        <is>
          <t>price_clarity</t>
        </is>
      </c>
      <c r="T419" s="9" t="inlineStr">
        <is>
          <t>price_clarity</t>
        </is>
      </c>
      <c r="U419" s="59" t="inlineStr"/>
    </row>
    <row r="420">
      <c r="A420" s="9" t="n">
        <v>419</v>
      </c>
      <c r="B420" s="58" t="n">
        <v>46215</v>
      </c>
      <c r="C420" s="9" t="str">
        <f>TEXT(B420,"yyyy-mm")</f>
        <v>2026-07</v>
      </c>
      <c r="D420" s="9" t="n">
        <v>5</v>
      </c>
      <c r="E420" s="9" t="inlineStr">
        <is>
          <t>18.2.0</t>
        </is>
      </c>
      <c r="F420" s="59" t="inlineStr">
        <is>
          <t>Expert service</t>
        </is>
      </c>
      <c r="G420" s="59" t="inlineStr">
        <is>
          <t>Salon at home truly ment it</t>
        </is>
      </c>
      <c r="H420" s="9" t="inlineStr">
        <is>
          <t>praise</t>
        </is>
      </c>
      <c r="I420" s="9" t="inlineStr">
        <is>
          <t>praise_service</t>
        </is>
      </c>
      <c r="J420" s="9" t="inlineStr"/>
      <c r="K420" s="9" t="inlineStr">
        <is>
          <t>no</t>
        </is>
      </c>
      <c r="L420" s="9" t="inlineStr">
        <is>
          <t>no</t>
        </is>
      </c>
      <c r="M420" s="9" t="inlineStr">
        <is>
          <t>none</t>
        </is>
      </c>
      <c r="N420" s="9" t="inlineStr">
        <is>
          <t>no</t>
        </is>
      </c>
      <c r="O420" s="9" t="inlineStr">
        <is>
          <t>unknown</t>
        </is>
      </c>
      <c r="P420" s="9" t="inlineStr"/>
      <c r="Q420" s="9" t="n">
        <v>0</v>
      </c>
      <c r="R420" s="59" t="inlineStr">
        <is>
          <t>Expert service | Salon at home truly ment it</t>
        </is>
      </c>
      <c r="S420" s="9" t="inlineStr">
        <is>
          <t>praise</t>
        </is>
      </c>
      <c r="T420" s="9" t="inlineStr">
        <is>
          <t>praise</t>
        </is>
      </c>
      <c r="U420" s="59" t="inlineStr"/>
    </row>
    <row r="421">
      <c r="A421" s="9" t="n">
        <v>420</v>
      </c>
      <c r="B421" s="58" t="n">
        <v>46214</v>
      </c>
      <c r="C421" s="9" t="str">
        <f>TEXT(B421,"yyyy-mm")</f>
        <v>2026-07</v>
      </c>
      <c r="D421" s="9" t="n">
        <v>1</v>
      </c>
      <c r="E421" s="9" t="inlineStr">
        <is>
          <t>18.2.0</t>
        </is>
      </c>
      <c r="F421" s="59" t="inlineStr">
        <is>
          <t>Disappointing</t>
        </is>
      </c>
      <c r="G421" s="59" t="inlineStr">
        <is>
          <t>I have taken multiple service’s from this So called yes madam. And every time I get the burn mark just because of some kindness or courtesy I did not complaint about it. But in my last booking there was a huge burn so called in yes madam support team on Saturday session was done and they providing me doctor consultant on Monday after days. They try to give me 300 rupee voucher as a compensation. I denied. They said they will take action against beautician I also denied that. I just want that yes madam need to hire good and professional beautician for grate services. Yes madam don’t use the good quality products. This need to highlight.</t>
        </is>
      </c>
      <c r="H421" s="9" t="inlineStr">
        <is>
          <t>service_quality</t>
        </is>
      </c>
      <c r="I421" s="9" t="inlineStr">
        <is>
          <t>skin_injury_or_reaction</t>
        </is>
      </c>
      <c r="J421" s="9" t="inlineStr">
        <is>
          <t>support, product_fit</t>
        </is>
      </c>
      <c r="K421" s="9" t="inlineStr">
        <is>
          <t>yes</t>
        </is>
      </c>
      <c r="L421" s="9" t="inlineStr">
        <is>
          <t>no</t>
        </is>
      </c>
      <c r="M421" s="9" t="inlineStr">
        <is>
          <t>high</t>
        </is>
      </c>
      <c r="N421" s="9" t="inlineStr">
        <is>
          <t>no</t>
        </is>
      </c>
      <c r="O421" s="9" t="inlineStr">
        <is>
          <t>unknown</t>
        </is>
      </c>
      <c r="P421" s="9" t="inlineStr"/>
      <c r="Q421" s="9" t="n">
        <v>300</v>
      </c>
      <c r="R421" s="59" t="inlineStr">
        <is>
          <t>in my last booking there was a huge burn so called in yes madam support team</t>
        </is>
      </c>
      <c r="S421" s="9" t="inlineStr">
        <is>
          <t>service_quality</t>
        </is>
      </c>
      <c r="T421" s="9" t="inlineStr">
        <is>
          <t>service_quality</t>
        </is>
      </c>
      <c r="U421" s="59" t="inlineStr"/>
    </row>
    <row r="422">
      <c r="A422" s="9" t="n">
        <v>421</v>
      </c>
      <c r="B422" s="58" t="n">
        <v>46214</v>
      </c>
      <c r="C422" s="9" t="str">
        <f>TEXT(B422,"yyyy-mm")</f>
        <v>2026-07</v>
      </c>
      <c r="D422" s="9" t="n">
        <v>5</v>
      </c>
      <c r="E422" s="9" t="inlineStr">
        <is>
          <t>18.2.0</t>
        </is>
      </c>
      <c r="F422" s="59" t="inlineStr">
        <is>
          <t>Excellent service at your home</t>
        </is>
      </c>
      <c r="G422" s="59" t="inlineStr">
        <is>
          <t>Relaxing service</t>
        </is>
      </c>
      <c r="H422" s="9" t="inlineStr">
        <is>
          <t>praise</t>
        </is>
      </c>
      <c r="I422" s="9" t="inlineStr">
        <is>
          <t>praise_service</t>
        </is>
      </c>
      <c r="J422" s="9" t="inlineStr"/>
      <c r="K422" s="9" t="inlineStr">
        <is>
          <t>no</t>
        </is>
      </c>
      <c r="L422" s="9" t="inlineStr">
        <is>
          <t>no</t>
        </is>
      </c>
      <c r="M422" s="9" t="inlineStr">
        <is>
          <t>none</t>
        </is>
      </c>
      <c r="N422" s="9" t="inlineStr">
        <is>
          <t>no</t>
        </is>
      </c>
      <c r="O422" s="9" t="inlineStr">
        <is>
          <t>unknown</t>
        </is>
      </c>
      <c r="P422" s="9" t="inlineStr"/>
      <c r="Q422" s="9" t="n">
        <v>0</v>
      </c>
      <c r="R422" s="59" t="inlineStr">
        <is>
          <t>Excellent service at your home | Relaxing service</t>
        </is>
      </c>
      <c r="S422" s="9" t="inlineStr">
        <is>
          <t>praise</t>
        </is>
      </c>
      <c r="T422" s="9" t="inlineStr">
        <is>
          <t>praise</t>
        </is>
      </c>
      <c r="U422" s="59" t="inlineStr"/>
    </row>
    <row r="423">
      <c r="A423" s="9" t="n">
        <v>422</v>
      </c>
      <c r="B423" s="58" t="n">
        <v>46214</v>
      </c>
      <c r="C423" s="9" t="str">
        <f>TEXT(B423,"yyyy-mm")</f>
        <v>2026-07</v>
      </c>
      <c r="D423" s="9" t="n">
        <v>5</v>
      </c>
      <c r="E423" s="9" t="inlineStr">
        <is>
          <t>18.2.0</t>
        </is>
      </c>
      <c r="F423" s="59" t="inlineStr">
        <is>
          <t>Nice</t>
        </is>
      </c>
      <c r="G423" s="59" t="inlineStr">
        <is>
          <t>Good</t>
        </is>
      </c>
      <c r="H423" s="9" t="inlineStr">
        <is>
          <t>praise</t>
        </is>
      </c>
      <c r="I423" s="9" t="inlineStr">
        <is>
          <t>praise_service</t>
        </is>
      </c>
      <c r="J423" s="9" t="inlineStr"/>
      <c r="K423" s="9" t="inlineStr">
        <is>
          <t>no</t>
        </is>
      </c>
      <c r="L423" s="9" t="inlineStr">
        <is>
          <t>no</t>
        </is>
      </c>
      <c r="M423" s="9" t="inlineStr">
        <is>
          <t>none</t>
        </is>
      </c>
      <c r="N423" s="9" t="inlineStr">
        <is>
          <t>no</t>
        </is>
      </c>
      <c r="O423" s="9" t="inlineStr">
        <is>
          <t>unknown</t>
        </is>
      </c>
      <c r="P423" s="9" t="inlineStr"/>
      <c r="Q423" s="9" t="n">
        <v>0</v>
      </c>
      <c r="R423" s="59" t="inlineStr">
        <is>
          <t>Good</t>
        </is>
      </c>
      <c r="S423" s="9" t="inlineStr">
        <is>
          <t>praise</t>
        </is>
      </c>
      <c r="T423" s="9" t="inlineStr">
        <is>
          <t>praise</t>
        </is>
      </c>
      <c r="U423" s="59" t="inlineStr"/>
    </row>
    <row r="424">
      <c r="A424" s="9" t="n">
        <v>423</v>
      </c>
      <c r="B424" s="58" t="n">
        <v>46214</v>
      </c>
      <c r="C424" s="9" t="str">
        <f>TEXT(B424,"yyyy-mm")</f>
        <v>2026-07</v>
      </c>
      <c r="D424" s="9" t="n">
        <v>5</v>
      </c>
      <c r="E424" s="9" t="inlineStr">
        <is>
          <t>18.2.0</t>
        </is>
      </c>
      <c r="F424" s="59" t="inlineStr">
        <is>
          <t>Products price</t>
        </is>
      </c>
      <c r="G424" s="59" t="inlineStr">
        <is>
          <t>I am using your services since long but now you have increased the product prices like rocket shoot. Its very very high. Even korean facial counts so much. Kindly work on your prices so that we can afford it.</t>
        </is>
      </c>
      <c r="H424" s="9" t="inlineStr">
        <is>
          <t>other</t>
        </is>
      </c>
      <c r="I424" s="9" t="inlineStr">
        <is>
          <t>other_issue</t>
        </is>
      </c>
      <c r="J424" s="9" t="inlineStr"/>
      <c r="K424" s="9" t="inlineStr">
        <is>
          <t>no</t>
        </is>
      </c>
      <c r="L424" s="9" t="inlineStr">
        <is>
          <t>no</t>
        </is>
      </c>
      <c r="M424" s="9" t="inlineStr">
        <is>
          <t>low</t>
        </is>
      </c>
      <c r="N424" s="9" t="inlineStr">
        <is>
          <t>no</t>
        </is>
      </c>
      <c r="O424" s="9" t="inlineStr">
        <is>
          <t>facial_cleanup</t>
        </is>
      </c>
      <c r="P424" s="9" t="inlineStr"/>
      <c r="Q424" s="9" t="n">
        <v>0</v>
      </c>
      <c r="R424" s="59" t="inlineStr">
        <is>
          <t>now you have increased the product prices like rocket shoot. Its very very high. Even korean facial counts so much</t>
        </is>
      </c>
      <c r="S424" s="9" t="inlineStr">
        <is>
          <t>other</t>
        </is>
      </c>
      <c r="T424" s="9" t="inlineStr">
        <is>
          <t>other</t>
        </is>
      </c>
      <c r="U424" s="59" t="inlineStr"/>
    </row>
    <row r="425">
      <c r="A425" s="9" t="n">
        <v>424</v>
      </c>
      <c r="B425" s="58" t="n">
        <v>46214</v>
      </c>
      <c r="C425" s="9" t="str">
        <f>TEXT(B425,"yyyy-mm")</f>
        <v>2026-07</v>
      </c>
      <c r="D425" s="9" t="n">
        <v>5</v>
      </c>
      <c r="E425" s="9" t="inlineStr">
        <is>
          <t>18.2.0</t>
        </is>
      </c>
      <c r="F425" s="59" t="inlineStr">
        <is>
          <t>Satisfactory and convinient</t>
        </is>
      </c>
      <c r="G425" s="59" t="inlineStr">
        <is>
          <t>Enjoyed the services provided and I absolutely recommend it . Very easy and convinient home service</t>
        </is>
      </c>
      <c r="H425" s="9" t="inlineStr">
        <is>
          <t>praise</t>
        </is>
      </c>
      <c r="I425" s="9" t="inlineStr">
        <is>
          <t>praise_service</t>
        </is>
      </c>
      <c r="J425" s="9" t="inlineStr"/>
      <c r="K425" s="9" t="inlineStr">
        <is>
          <t>no</t>
        </is>
      </c>
      <c r="L425" s="9" t="inlineStr">
        <is>
          <t>no</t>
        </is>
      </c>
      <c r="M425" s="9" t="inlineStr">
        <is>
          <t>none</t>
        </is>
      </c>
      <c r="N425" s="9" t="inlineStr">
        <is>
          <t>no</t>
        </is>
      </c>
      <c r="O425" s="9" t="inlineStr">
        <is>
          <t>unknown</t>
        </is>
      </c>
      <c r="P425" s="9" t="inlineStr"/>
      <c r="Q425" s="9" t="n">
        <v>0</v>
      </c>
      <c r="R425" s="59" t="inlineStr">
        <is>
          <t>Enjoyed the services provided and I absolutely recommend it . Very easy and convinient home service</t>
        </is>
      </c>
      <c r="S425" s="9" t="inlineStr">
        <is>
          <t>praise</t>
        </is>
      </c>
      <c r="T425" s="9" t="inlineStr">
        <is>
          <t>praise</t>
        </is>
      </c>
      <c r="U425" s="59" t="inlineStr"/>
    </row>
    <row r="426">
      <c r="A426" s="9" t="n">
        <v>425</v>
      </c>
      <c r="B426" s="58" t="n">
        <v>46214</v>
      </c>
      <c r="C426" s="9" t="str">
        <f>TEXT(B426,"yyyy-mm")</f>
        <v>2026-07</v>
      </c>
      <c r="D426" s="9" t="n">
        <v>1</v>
      </c>
      <c r="E426" s="9" t="inlineStr">
        <is>
          <t>18.2.0</t>
        </is>
      </c>
      <c r="F426" s="59" t="inlineStr">
        <is>
          <t>Stopped without product service</t>
        </is>
      </c>
      <c r="G426" s="59" t="inlineStr">
        <is>
          <t>I have booked yes madam waxing service before and each time I was left with remaining wax, so afterwards I used to book their service with products but now they have stopped that service and I am left with 4 tins of wax, so now I have stopped ordering their service</t>
        </is>
      </c>
      <c r="H426" s="9" t="inlineStr">
        <is>
          <t>other</t>
        </is>
      </c>
      <c r="I426" s="9" t="inlineStr">
        <is>
          <t>other_issue</t>
        </is>
      </c>
      <c r="J426" s="9" t="inlineStr">
        <is>
          <t>product_fit</t>
        </is>
      </c>
      <c r="K426" s="9" t="inlineStr">
        <is>
          <t>no</t>
        </is>
      </c>
      <c r="L426" s="9" t="inlineStr">
        <is>
          <t>no</t>
        </is>
      </c>
      <c r="M426" s="9" t="inlineStr">
        <is>
          <t>low</t>
        </is>
      </c>
      <c r="N426" s="9" t="inlineStr">
        <is>
          <t>yes</t>
        </is>
      </c>
      <c r="O426" s="9" t="inlineStr">
        <is>
          <t>waxing</t>
        </is>
      </c>
      <c r="P426" s="9" t="inlineStr"/>
      <c r="Q426" s="9" t="n">
        <v>0</v>
      </c>
      <c r="R426" s="59" t="inlineStr">
        <is>
          <t>now they have stopped that service and I am left with 4 tins of wax, so now I have stopped ordering their service</t>
        </is>
      </c>
      <c r="S426" s="9" t="inlineStr">
        <is>
          <t>other</t>
        </is>
      </c>
      <c r="T426" s="9" t="inlineStr">
        <is>
          <t>product_fit</t>
        </is>
      </c>
      <c r="U426" s="59" t="inlineStr">
        <is>
          <t>Complaint is that Yes Madam discontinued the waxing-without-products option, leaving the customer with unused wax tins; this is a service-offering change, not a pushed upsell, product quality or pricing issue.</t>
        </is>
      </c>
    </row>
    <row r="427">
      <c r="A427" s="9" t="n">
        <v>426</v>
      </c>
      <c r="B427" s="58" t="n">
        <v>46214</v>
      </c>
      <c r="C427" s="9" t="str">
        <f>TEXT(B427,"yyyy-mm")</f>
        <v>2026-07</v>
      </c>
      <c r="D427" s="9" t="n">
        <v>5</v>
      </c>
      <c r="E427" s="9" t="inlineStr">
        <is>
          <t>18.2.0</t>
        </is>
      </c>
      <c r="F427" s="59" t="inlineStr">
        <is>
          <t>Professional review</t>
        </is>
      </c>
      <c r="G427" s="59" t="inlineStr">
        <is>
          <t>[name] loved your behaviour and services 🥰🥰🥰</t>
        </is>
      </c>
      <c r="H427" s="9" t="inlineStr">
        <is>
          <t>praise</t>
        </is>
      </c>
      <c r="I427" s="9" t="inlineStr">
        <is>
          <t>praise_professional</t>
        </is>
      </c>
      <c r="J427" s="9" t="inlineStr"/>
      <c r="K427" s="9" t="inlineStr">
        <is>
          <t>no</t>
        </is>
      </c>
      <c r="L427" s="9" t="inlineStr">
        <is>
          <t>no</t>
        </is>
      </c>
      <c r="M427" s="9" t="inlineStr">
        <is>
          <t>none</t>
        </is>
      </c>
      <c r="N427" s="9" t="inlineStr">
        <is>
          <t>no</t>
        </is>
      </c>
      <c r="O427" s="9" t="inlineStr">
        <is>
          <t>unknown</t>
        </is>
      </c>
      <c r="P427" s="9" t="inlineStr"/>
      <c r="Q427" s="9" t="n">
        <v>0</v>
      </c>
      <c r="R427" s="59" t="inlineStr">
        <is>
          <t>[name] loved your behaviour and services 🥰🥰🥰</t>
        </is>
      </c>
      <c r="S427" s="9" t="inlineStr">
        <is>
          <t>praise</t>
        </is>
      </c>
      <c r="T427" s="9" t="inlineStr">
        <is>
          <t>praise</t>
        </is>
      </c>
      <c r="U427" s="59" t="inlineStr"/>
    </row>
    <row r="428">
      <c r="A428" s="9" t="n">
        <v>427</v>
      </c>
      <c r="B428" s="58" t="n">
        <v>46214</v>
      </c>
      <c r="C428" s="9" t="str">
        <f>TEXT(B428,"yyyy-mm")</f>
        <v>2026-07</v>
      </c>
      <c r="D428" s="9" t="n">
        <v>5</v>
      </c>
      <c r="E428" s="9" t="inlineStr">
        <is>
          <t>18.2.0</t>
        </is>
      </c>
      <c r="F428" s="59" t="inlineStr">
        <is>
          <t>[name]</t>
        </is>
      </c>
      <c r="G428" s="59" t="inlineStr">
        <is>
          <t>She is awesome and very good massage, felt very relaxed</t>
        </is>
      </c>
      <c r="H428" s="9" t="inlineStr">
        <is>
          <t>praise</t>
        </is>
      </c>
      <c r="I428" s="9" t="inlineStr">
        <is>
          <t>praise_professional</t>
        </is>
      </c>
      <c r="J428" s="9" t="inlineStr"/>
      <c r="K428" s="9" t="inlineStr">
        <is>
          <t>no</t>
        </is>
      </c>
      <c r="L428" s="9" t="inlineStr">
        <is>
          <t>no</t>
        </is>
      </c>
      <c r="M428" s="9" t="inlineStr">
        <is>
          <t>none</t>
        </is>
      </c>
      <c r="N428" s="9" t="inlineStr">
        <is>
          <t>no</t>
        </is>
      </c>
      <c r="O428" s="9" t="inlineStr">
        <is>
          <t>massage_spa</t>
        </is>
      </c>
      <c r="P428" s="9" t="inlineStr"/>
      <c r="Q428" s="9" t="n">
        <v>0</v>
      </c>
      <c r="R428" s="59" t="inlineStr">
        <is>
          <t>She is awesome and very good massage, felt very relaxed</t>
        </is>
      </c>
      <c r="S428" s="9" t="inlineStr">
        <is>
          <t>praise</t>
        </is>
      </c>
      <c r="T428" s="9" t="inlineStr">
        <is>
          <t>praise</t>
        </is>
      </c>
      <c r="U428" s="59" t="inlineStr"/>
    </row>
    <row r="429">
      <c r="A429" s="9" t="n">
        <v>428</v>
      </c>
      <c r="B429" s="58" t="n">
        <v>46214</v>
      </c>
      <c r="C429" s="9" t="str">
        <f>TEXT(B429,"yyyy-mm")</f>
        <v>2026-07</v>
      </c>
      <c r="D429" s="9" t="n">
        <v>1</v>
      </c>
      <c r="E429" s="9" t="inlineStr">
        <is>
          <t>18.2.0</t>
        </is>
      </c>
      <c r="F429" s="59" t="inlineStr">
        <is>
          <t>Worst Service</t>
        </is>
      </c>
      <c r="G429" s="59" t="inlineStr">
        <is>
          <t>Worst App</t>
        </is>
      </c>
      <c r="H429" s="9" t="inlineStr">
        <is>
          <t>other</t>
        </is>
      </c>
      <c r="I429" s="9" t="inlineStr">
        <is>
          <t>unclear</t>
        </is>
      </c>
      <c r="J429" s="9" t="inlineStr"/>
      <c r="K429" s="9" t="inlineStr">
        <is>
          <t>no</t>
        </is>
      </c>
      <c r="L429" s="9" t="inlineStr">
        <is>
          <t>no</t>
        </is>
      </c>
      <c r="M429" s="9" t="inlineStr">
        <is>
          <t>low</t>
        </is>
      </c>
      <c r="N429" s="9" t="inlineStr">
        <is>
          <t>no</t>
        </is>
      </c>
      <c r="O429" s="9" t="inlineStr">
        <is>
          <t>unknown</t>
        </is>
      </c>
      <c r="P429" s="9" t="inlineStr"/>
      <c r="Q429" s="9" t="n">
        <v>0</v>
      </c>
      <c r="R429" s="59" t="inlineStr">
        <is>
          <t>Worst Service | Worst App</t>
        </is>
      </c>
      <c r="S429" s="9" t="inlineStr">
        <is>
          <t>other</t>
        </is>
      </c>
      <c r="T429" s="9" t="inlineStr">
        <is>
          <t>other</t>
        </is>
      </c>
      <c r="U429" s="59" t="inlineStr"/>
    </row>
    <row r="430">
      <c r="A430" s="9" t="n">
        <v>429</v>
      </c>
      <c r="B430" s="58" t="n">
        <v>46214</v>
      </c>
      <c r="C430" s="9" t="str">
        <f>TEXT(B430,"yyyy-mm")</f>
        <v>2026-07</v>
      </c>
      <c r="D430" s="9" t="n">
        <v>4</v>
      </c>
      <c r="E430" s="9" t="inlineStr">
        <is>
          <t>18.2.0</t>
        </is>
      </c>
      <c r="F430" s="59" t="inlineStr">
        <is>
          <t>Body massage</t>
        </is>
      </c>
      <c r="G430" s="59" t="inlineStr">
        <is>
          <t>Good service</t>
        </is>
      </c>
      <c r="H430" s="9" t="inlineStr">
        <is>
          <t>praise</t>
        </is>
      </c>
      <c r="I430" s="9" t="inlineStr">
        <is>
          <t>praise_service</t>
        </is>
      </c>
      <c r="J430" s="9" t="inlineStr"/>
      <c r="K430" s="9" t="inlineStr">
        <is>
          <t>no</t>
        </is>
      </c>
      <c r="L430" s="9" t="inlineStr">
        <is>
          <t>no</t>
        </is>
      </c>
      <c r="M430" s="9" t="inlineStr">
        <is>
          <t>none</t>
        </is>
      </c>
      <c r="N430" s="9" t="inlineStr">
        <is>
          <t>no</t>
        </is>
      </c>
      <c r="O430" s="9" t="inlineStr">
        <is>
          <t>massage_spa</t>
        </is>
      </c>
      <c r="P430" s="9" t="inlineStr"/>
      <c r="Q430" s="9" t="n">
        <v>0</v>
      </c>
      <c r="R430" s="59" t="inlineStr">
        <is>
          <t>Body massage | Good service</t>
        </is>
      </c>
      <c r="S430" s="9" t="inlineStr">
        <is>
          <t>praise</t>
        </is>
      </c>
      <c r="T430" s="9" t="inlineStr">
        <is>
          <t>praise</t>
        </is>
      </c>
      <c r="U430" s="59" t="inlineStr"/>
    </row>
    <row r="431">
      <c r="A431" s="9" t="n">
        <v>430</v>
      </c>
      <c r="B431" s="58" t="n">
        <v>46213</v>
      </c>
      <c r="C431" s="9" t="str">
        <f>TEXT(B431,"yyyy-mm")</f>
        <v>2026-07</v>
      </c>
      <c r="D431" s="9" t="n">
        <v>5</v>
      </c>
      <c r="E431" s="9" t="inlineStr">
        <is>
          <t>18.2.0</t>
        </is>
      </c>
      <c r="F431" s="59" t="inlineStr">
        <is>
          <t>Best services</t>
        </is>
      </c>
      <c r="G431" s="59" t="inlineStr">
        <is>
          <t>Absolutely professional and excellent—I really liked it.</t>
        </is>
      </c>
      <c r="H431" s="9" t="inlineStr">
        <is>
          <t>praise</t>
        </is>
      </c>
      <c r="I431" s="9" t="inlineStr">
        <is>
          <t>praise_service</t>
        </is>
      </c>
      <c r="J431" s="9" t="inlineStr"/>
      <c r="K431" s="9" t="inlineStr">
        <is>
          <t>no</t>
        </is>
      </c>
      <c r="L431" s="9" t="inlineStr">
        <is>
          <t>no</t>
        </is>
      </c>
      <c r="M431" s="9" t="inlineStr">
        <is>
          <t>none</t>
        </is>
      </c>
      <c r="N431" s="9" t="inlineStr">
        <is>
          <t>no</t>
        </is>
      </c>
      <c r="O431" s="9" t="inlineStr">
        <is>
          <t>unknown</t>
        </is>
      </c>
      <c r="P431" s="9" t="inlineStr"/>
      <c r="Q431" s="9" t="n">
        <v>0</v>
      </c>
      <c r="R431" s="59" t="inlineStr">
        <is>
          <t>Absolutely professional and excellent—I really liked it.</t>
        </is>
      </c>
      <c r="S431" s="9" t="inlineStr">
        <is>
          <t>praise</t>
        </is>
      </c>
      <c r="T431" s="9" t="inlineStr">
        <is>
          <t>praise</t>
        </is>
      </c>
      <c r="U431" s="59" t="inlineStr"/>
    </row>
    <row r="432">
      <c r="A432" s="9" t="n">
        <v>431</v>
      </c>
      <c r="B432" s="58" t="n">
        <v>46213</v>
      </c>
      <c r="C432" s="9" t="str">
        <f>TEXT(B432,"yyyy-mm")</f>
        <v>2026-07</v>
      </c>
      <c r="D432" s="9" t="n">
        <v>5</v>
      </c>
      <c r="E432" s="9" t="inlineStr">
        <is>
          <t>18.2.0</t>
        </is>
      </c>
      <c r="F432" s="59" t="inlineStr">
        <is>
          <t>I had a pleasant experience.</t>
        </is>
      </c>
      <c r="G432" s="59" t="inlineStr">
        <is>
          <t>The service was well organized, and I am very satisfied. Highly recommended!</t>
        </is>
      </c>
      <c r="H432" s="9" t="inlineStr">
        <is>
          <t>praise</t>
        </is>
      </c>
      <c r="I432" s="9" t="inlineStr">
        <is>
          <t>praise_service</t>
        </is>
      </c>
      <c r="J432" s="9" t="inlineStr"/>
      <c r="K432" s="9" t="inlineStr">
        <is>
          <t>no</t>
        </is>
      </c>
      <c r="L432" s="9" t="inlineStr">
        <is>
          <t>no</t>
        </is>
      </c>
      <c r="M432" s="9" t="inlineStr">
        <is>
          <t>none</t>
        </is>
      </c>
      <c r="N432" s="9" t="inlineStr">
        <is>
          <t>no</t>
        </is>
      </c>
      <c r="O432" s="9" t="inlineStr">
        <is>
          <t>unknown</t>
        </is>
      </c>
      <c r="P432" s="9" t="inlineStr"/>
      <c r="Q432" s="9" t="n">
        <v>0</v>
      </c>
      <c r="R432" s="59" t="inlineStr">
        <is>
          <t>The service was well organized, and I am very satisfied. Highly recommended!</t>
        </is>
      </c>
      <c r="S432" s="9" t="inlineStr">
        <is>
          <t>praise</t>
        </is>
      </c>
      <c r="T432" s="9" t="inlineStr">
        <is>
          <t>praise</t>
        </is>
      </c>
      <c r="U432" s="59" t="inlineStr"/>
    </row>
    <row r="433">
      <c r="A433" s="9" t="n">
        <v>432</v>
      </c>
      <c r="B433" s="58" t="n">
        <v>46212</v>
      </c>
      <c r="C433" s="9" t="str">
        <f>TEXT(B433,"yyyy-mm")</f>
        <v>2026-07</v>
      </c>
      <c r="D433" s="9" t="n">
        <v>5</v>
      </c>
      <c r="E433" s="9" t="inlineStr">
        <is>
          <t>18.2.0</t>
        </is>
      </c>
      <c r="F433" s="59" t="inlineStr">
        <is>
          <t>Ns</t>
        </is>
      </c>
      <c r="G433" s="59" t="inlineStr">
        <is>
          <t>Na</t>
        </is>
      </c>
      <c r="H433" s="9" t="inlineStr">
        <is>
          <t>praise</t>
        </is>
      </c>
      <c r="I433" s="9" t="inlineStr">
        <is>
          <t>praise_service</t>
        </is>
      </c>
      <c r="J433" s="9" t="inlineStr"/>
      <c r="K433" s="9" t="inlineStr">
        <is>
          <t>no</t>
        </is>
      </c>
      <c r="L433" s="9" t="inlineStr">
        <is>
          <t>no</t>
        </is>
      </c>
      <c r="M433" s="9" t="inlineStr">
        <is>
          <t>none</t>
        </is>
      </c>
      <c r="N433" s="9" t="inlineStr">
        <is>
          <t>no</t>
        </is>
      </c>
      <c r="O433" s="9" t="inlineStr">
        <is>
          <t>unknown</t>
        </is>
      </c>
      <c r="P433" s="9" t="inlineStr"/>
      <c r="Q433" s="9" t="n">
        <v>0</v>
      </c>
      <c r="R433" s="59" t="inlineStr">
        <is>
          <t>Ns | Na</t>
        </is>
      </c>
      <c r="S433" s="9" t="inlineStr">
        <is>
          <t>praise</t>
        </is>
      </c>
      <c r="T433" s="9" t="inlineStr">
        <is>
          <t>praise</t>
        </is>
      </c>
      <c r="U433" s="59" t="inlineStr"/>
    </row>
    <row r="434">
      <c r="A434" s="9" t="n">
        <v>433</v>
      </c>
      <c r="B434" s="58" t="n">
        <v>46212</v>
      </c>
      <c r="C434" s="9" t="str">
        <f>TEXT(B434,"yyyy-mm")</f>
        <v>2026-07</v>
      </c>
      <c r="D434" s="9" t="n">
        <v>5</v>
      </c>
      <c r="E434" s="9" t="inlineStr">
        <is>
          <t>18.2.0</t>
        </is>
      </c>
      <c r="F434" s="59" t="inlineStr">
        <is>
          <t>[name]</t>
        </is>
      </c>
      <c r="G434" s="59" t="inlineStr">
        <is>
          <t>She provided a good service.</t>
        </is>
      </c>
      <c r="H434" s="9" t="inlineStr">
        <is>
          <t>praise</t>
        </is>
      </c>
      <c r="I434" s="9" t="inlineStr">
        <is>
          <t>praise_professional</t>
        </is>
      </c>
      <c r="J434" s="9" t="inlineStr"/>
      <c r="K434" s="9" t="inlineStr">
        <is>
          <t>no</t>
        </is>
      </c>
      <c r="L434" s="9" t="inlineStr">
        <is>
          <t>no</t>
        </is>
      </c>
      <c r="M434" s="9" t="inlineStr">
        <is>
          <t>none</t>
        </is>
      </c>
      <c r="N434" s="9" t="inlineStr">
        <is>
          <t>no</t>
        </is>
      </c>
      <c r="O434" s="9" t="inlineStr">
        <is>
          <t>unknown</t>
        </is>
      </c>
      <c r="P434" s="9" t="inlineStr"/>
      <c r="Q434" s="9" t="n">
        <v>0</v>
      </c>
      <c r="R434" s="59" t="inlineStr">
        <is>
          <t>She provided a good service.</t>
        </is>
      </c>
      <c r="S434" s="9" t="inlineStr">
        <is>
          <t>praise</t>
        </is>
      </c>
      <c r="T434" s="9" t="inlineStr">
        <is>
          <t>praise</t>
        </is>
      </c>
      <c r="U434" s="59" t="inlineStr"/>
    </row>
    <row r="435">
      <c r="A435" s="9" t="n">
        <v>434</v>
      </c>
      <c r="B435" s="58" t="n">
        <v>46211</v>
      </c>
      <c r="C435" s="9" t="str">
        <f>TEXT(B435,"yyyy-mm")</f>
        <v>2026-07</v>
      </c>
      <c r="D435" s="9" t="n">
        <v>5</v>
      </c>
      <c r="E435" s="9" t="inlineStr">
        <is>
          <t>18.2.0</t>
        </is>
      </c>
      <c r="F435" s="59" t="inlineStr">
        <is>
          <t>Great session</t>
        </is>
      </c>
      <c r="G435" s="59" t="inlineStr">
        <is>
          <t>Had a good experience. But work on rates</t>
        </is>
      </c>
      <c r="H435" s="9" t="inlineStr">
        <is>
          <t>other</t>
        </is>
      </c>
      <c r="I435" s="9" t="inlineStr">
        <is>
          <t>other_issue</t>
        </is>
      </c>
      <c r="J435" s="9" t="inlineStr"/>
      <c r="K435" s="9" t="inlineStr">
        <is>
          <t>no</t>
        </is>
      </c>
      <c r="L435" s="9" t="inlineStr">
        <is>
          <t>no</t>
        </is>
      </c>
      <c r="M435" s="9" t="inlineStr">
        <is>
          <t>low</t>
        </is>
      </c>
      <c r="N435" s="9" t="inlineStr">
        <is>
          <t>no</t>
        </is>
      </c>
      <c r="O435" s="9" t="inlineStr">
        <is>
          <t>unknown</t>
        </is>
      </c>
      <c r="P435" s="9" t="inlineStr"/>
      <c r="Q435" s="9" t="n">
        <v>0</v>
      </c>
      <c r="R435" s="59" t="inlineStr">
        <is>
          <t>Had a good experience. But work on rates</t>
        </is>
      </c>
      <c r="S435" s="9" t="inlineStr">
        <is>
          <t>other</t>
        </is>
      </c>
      <c r="T435" s="9" t="inlineStr">
        <is>
          <t>other</t>
        </is>
      </c>
      <c r="U435" s="59" t="inlineStr"/>
    </row>
    <row r="436">
      <c r="A436" s="9" t="n">
        <v>435</v>
      </c>
      <c r="B436" s="58" t="n">
        <v>46211</v>
      </c>
      <c r="C436" s="9" t="str">
        <f>TEXT(B436,"yyyy-mm")</f>
        <v>2026-07</v>
      </c>
      <c r="D436" s="9" t="n">
        <v>1</v>
      </c>
      <c r="E436" s="9" t="inlineStr">
        <is>
          <t>18.2.0</t>
        </is>
      </c>
      <c r="F436" s="59" t="inlineStr">
        <is>
          <t>Very unprofessional and poorly managed platform</t>
        </is>
      </c>
      <c r="G436" s="59" t="inlineStr">
        <is>
          <t>I am extremely frustrated with Yes Madam. My booking was canceled twice, with reasons that frankly made no sense. The lack of professionalism and the poor handling of the situation made me feel like my time meant nothing to them. I expected far better, and this level of service is simply unacceptable. I wont book any service again from yes madam</t>
        </is>
      </c>
      <c r="H436" s="9" t="inlineStr">
        <is>
          <t>partner_cancellation</t>
        </is>
      </c>
      <c r="I436" s="9" t="inlineStr">
        <is>
          <t>repeated_reschedule</t>
        </is>
      </c>
      <c r="J436" s="9" t="inlineStr"/>
      <c r="K436" s="9" t="inlineStr">
        <is>
          <t>no</t>
        </is>
      </c>
      <c r="L436" s="9" t="inlineStr">
        <is>
          <t>no</t>
        </is>
      </c>
      <c r="M436" s="9" t="inlineStr">
        <is>
          <t>medium</t>
        </is>
      </c>
      <c r="N436" s="9" t="inlineStr">
        <is>
          <t>yes</t>
        </is>
      </c>
      <c r="O436" s="9" t="inlineStr">
        <is>
          <t>unknown</t>
        </is>
      </c>
      <c r="P436" s="9" t="inlineStr"/>
      <c r="Q436" s="9" t="n">
        <v>0</v>
      </c>
      <c r="R436" s="59" t="inlineStr">
        <is>
          <t>My booking was canceled twice, with reasons that frankly made no sense.</t>
        </is>
      </c>
      <c r="S436" s="9" t="inlineStr">
        <is>
          <t>partner_cancellation</t>
        </is>
      </c>
      <c r="T436" s="9" t="inlineStr">
        <is>
          <t>partner_cancellation</t>
        </is>
      </c>
      <c r="U436" s="59" t="inlineStr"/>
    </row>
    <row r="437">
      <c r="A437" s="9" t="n">
        <v>436</v>
      </c>
      <c r="B437" s="58" t="n">
        <v>46211</v>
      </c>
      <c r="C437" s="9" t="str">
        <f>TEXT(B437,"yyyy-mm")</f>
        <v>2026-07</v>
      </c>
      <c r="D437" s="9" t="n">
        <v>5</v>
      </c>
      <c r="E437" s="9" t="inlineStr">
        <is>
          <t>18.2.0</t>
        </is>
      </c>
      <c r="F437" s="59" t="inlineStr">
        <is>
          <t>💯 Recommended</t>
        </is>
      </c>
      <c r="G437" s="59" t="inlineStr">
        <is>
          <t>Yes Madam is easy to book and service professionals they provide are well trained and experienced in their work. I tried yes madam and totally loved the service they provided at home with such neatness, hygiene and intricately. I totally recommend this app and suggest everyone should try their services.</t>
        </is>
      </c>
      <c r="H437" s="9" t="inlineStr">
        <is>
          <t>praise</t>
        </is>
      </c>
      <c r="I437" s="9" t="inlineStr">
        <is>
          <t>praise_service</t>
        </is>
      </c>
      <c r="J437" s="9" t="inlineStr"/>
      <c r="K437" s="9" t="inlineStr">
        <is>
          <t>no</t>
        </is>
      </c>
      <c r="L437" s="9" t="inlineStr">
        <is>
          <t>no</t>
        </is>
      </c>
      <c r="M437" s="9" t="inlineStr">
        <is>
          <t>none</t>
        </is>
      </c>
      <c r="N437" s="9" t="inlineStr">
        <is>
          <t>no</t>
        </is>
      </c>
      <c r="O437" s="9" t="inlineStr">
        <is>
          <t>unknown</t>
        </is>
      </c>
      <c r="P437" s="9" t="inlineStr"/>
      <c r="Q437" s="9" t="n">
        <v>0</v>
      </c>
      <c r="R437" s="59" t="inlineStr">
        <is>
          <t>service professionals they provide are well trained and experienced in their work</t>
        </is>
      </c>
      <c r="S437" s="9" t="inlineStr">
        <is>
          <t>praise</t>
        </is>
      </c>
      <c r="T437" s="9" t="inlineStr">
        <is>
          <t>praise</t>
        </is>
      </c>
      <c r="U437" s="59" t="inlineStr"/>
    </row>
    <row r="438">
      <c r="A438" s="9" t="n">
        <v>437</v>
      </c>
      <c r="B438" s="58" t="n">
        <v>46211</v>
      </c>
      <c r="C438" s="9" t="str">
        <f>TEXT(B438,"yyyy-mm")</f>
        <v>2026-07</v>
      </c>
      <c r="D438" s="9" t="n">
        <v>5</v>
      </c>
      <c r="E438" s="9" t="inlineStr">
        <is>
          <t>18.2.0</t>
        </is>
      </c>
      <c r="F438" s="59" t="inlineStr">
        <is>
          <t>Yes madam service review</t>
        </is>
      </c>
      <c r="G438" s="59" t="inlineStr">
        <is>
          <t>[name] from Rohini sector 11 is a beautician 
I had a great experience with Yes Madam for my pedicure and cleanup. The beautician was professional, hygienic, and friendly, and I was very happy with the results. Highly recommended❤️🫶🏻</t>
        </is>
      </c>
      <c r="H438" s="9" t="inlineStr">
        <is>
          <t>praise</t>
        </is>
      </c>
      <c r="I438" s="9" t="inlineStr">
        <is>
          <t>praise_professional</t>
        </is>
      </c>
      <c r="J438" s="9" t="inlineStr"/>
      <c r="K438" s="9" t="inlineStr">
        <is>
          <t>no</t>
        </is>
      </c>
      <c r="L438" s="9" t="inlineStr">
        <is>
          <t>no</t>
        </is>
      </c>
      <c r="M438" s="9" t="inlineStr">
        <is>
          <t>none</t>
        </is>
      </c>
      <c r="N438" s="9" t="inlineStr">
        <is>
          <t>no</t>
        </is>
      </c>
      <c r="O438" s="9" t="inlineStr">
        <is>
          <t>multiple</t>
        </is>
      </c>
      <c r="P438" s="9" t="inlineStr">
        <is>
          <t>Delhi</t>
        </is>
      </c>
      <c r="Q438" s="9" t="n">
        <v>0</v>
      </c>
      <c r="R438" s="59" t="inlineStr">
        <is>
          <t>The beautician was professional, hygienic, and friendly, and I was very happy with the results.</t>
        </is>
      </c>
      <c r="S438" s="9" t="inlineStr">
        <is>
          <t>praise</t>
        </is>
      </c>
      <c r="T438" s="9" t="inlineStr">
        <is>
          <t>praise</t>
        </is>
      </c>
      <c r="U438" s="59" t="inlineStr"/>
    </row>
    <row r="439">
      <c r="A439" s="9" t="n">
        <v>438</v>
      </c>
      <c r="B439" s="58" t="n">
        <v>46211</v>
      </c>
      <c r="C439" s="9" t="str">
        <f>TEXT(B439,"yyyy-mm")</f>
        <v>2026-07</v>
      </c>
      <c r="D439" s="9" t="n">
        <v>5</v>
      </c>
      <c r="E439" s="9" t="inlineStr">
        <is>
          <t>18.2.0</t>
        </is>
      </c>
      <c r="F439" s="59" t="inlineStr">
        <is>
          <t>Body spa</t>
        </is>
      </c>
      <c r="G439" s="59" t="inlineStr">
        <is>
          <t>Is female to male service available?</t>
        </is>
      </c>
      <c r="H439" s="9" t="inlineStr">
        <is>
          <t>other</t>
        </is>
      </c>
      <c r="I439" s="9" t="inlineStr">
        <is>
          <t>other_issue</t>
        </is>
      </c>
      <c r="J439" s="9" t="inlineStr"/>
      <c r="K439" s="9" t="inlineStr">
        <is>
          <t>no</t>
        </is>
      </c>
      <c r="L439" s="9" t="inlineStr">
        <is>
          <t>no</t>
        </is>
      </c>
      <c r="M439" s="9" t="inlineStr">
        <is>
          <t>none</t>
        </is>
      </c>
      <c r="N439" s="9" t="inlineStr">
        <is>
          <t>no</t>
        </is>
      </c>
      <c r="O439" s="9" t="inlineStr">
        <is>
          <t>massage_spa</t>
        </is>
      </c>
      <c r="P439" s="9" t="inlineStr"/>
      <c r="Q439" s="9" t="n">
        <v>0</v>
      </c>
      <c r="R439" s="59" t="inlineStr">
        <is>
          <t>Body spa | Is female to male service available?</t>
        </is>
      </c>
      <c r="S439" s="9" t="inlineStr">
        <is>
          <t>other</t>
        </is>
      </c>
      <c r="T439" s="9" t="inlineStr">
        <is>
          <t>other</t>
        </is>
      </c>
      <c r="U439" s="59" t="inlineStr"/>
    </row>
    <row r="440">
      <c r="A440" s="9" t="n">
        <v>439</v>
      </c>
      <c r="B440" s="58" t="n">
        <v>46211</v>
      </c>
      <c r="C440" s="9" t="str">
        <f>TEXT(B440,"yyyy-mm")</f>
        <v>2026-07</v>
      </c>
      <c r="D440" s="9" t="n">
        <v>1</v>
      </c>
      <c r="E440" s="9" t="inlineStr">
        <is>
          <t>18.2.0</t>
        </is>
      </c>
      <c r="F440" s="59" t="inlineStr">
        <is>
          <t>Not a trusted company</t>
        </is>
      </c>
      <c r="G440" s="59" t="inlineStr">
        <is>
          <t>I booked at appointment at 3. The professional calls me at 2 to tell me they are not coming and another professional will be appointed. At 3 I call the company because nobody showed up and they say that today won’t be possible. Such an untrustworthy company.</t>
        </is>
      </c>
      <c r="H440" s="9" t="inlineStr">
        <is>
          <t>partner_cancellation</t>
        </is>
      </c>
      <c r="I440" s="9" t="inlineStr">
        <is>
          <t>last_minute_cancel</t>
        </is>
      </c>
      <c r="J440" s="9" t="inlineStr">
        <is>
          <t>support</t>
        </is>
      </c>
      <c r="K440" s="9" t="inlineStr">
        <is>
          <t>yes</t>
        </is>
      </c>
      <c r="L440" s="9" t="inlineStr">
        <is>
          <t>yes</t>
        </is>
      </c>
      <c r="M440" s="9" t="inlineStr">
        <is>
          <t>medium</t>
        </is>
      </c>
      <c r="N440" s="9" t="inlineStr">
        <is>
          <t>no</t>
        </is>
      </c>
      <c r="O440" s="9" t="inlineStr">
        <is>
          <t>unknown</t>
        </is>
      </c>
      <c r="P440" s="9" t="inlineStr"/>
      <c r="Q440" s="9" t="n">
        <v>0</v>
      </c>
      <c r="R440" s="59" t="inlineStr">
        <is>
          <t>The professional calls me at 2 to tell me they are not coming and another professional will be appointed.</t>
        </is>
      </c>
      <c r="S440" s="9" t="inlineStr">
        <is>
          <t>partner_cancellation</t>
        </is>
      </c>
      <c r="T440" s="9" t="inlineStr">
        <is>
          <t>partner_cancellation</t>
        </is>
      </c>
      <c r="U440" s="59" t="inlineStr"/>
    </row>
    <row r="441">
      <c r="A441" s="9" t="n">
        <v>440</v>
      </c>
      <c r="B441" s="58" t="n">
        <v>46210</v>
      </c>
      <c r="C441" s="9" t="str">
        <f>TEXT(B441,"yyyy-mm")</f>
        <v>2026-07</v>
      </c>
      <c r="D441" s="9" t="n">
        <v>5</v>
      </c>
      <c r="E441" s="9" t="inlineStr">
        <is>
          <t>18.2.0</t>
        </is>
      </c>
      <c r="F441" s="59" t="inlineStr">
        <is>
          <t>Wonderful experience</t>
        </is>
      </c>
      <c r="G441" s="59" t="inlineStr">
        <is>
          <t>I had a great experience. Thank you. Hoping for better discounts next time!</t>
        </is>
      </c>
      <c r="H441" s="9" t="inlineStr">
        <is>
          <t>praise</t>
        </is>
      </c>
      <c r="I441" s="9" t="inlineStr">
        <is>
          <t>praise_service</t>
        </is>
      </c>
      <c r="J441" s="9" t="inlineStr"/>
      <c r="K441" s="9" t="inlineStr">
        <is>
          <t>no</t>
        </is>
      </c>
      <c r="L441" s="9" t="inlineStr">
        <is>
          <t>no</t>
        </is>
      </c>
      <c r="M441" s="9" t="inlineStr">
        <is>
          <t>none</t>
        </is>
      </c>
      <c r="N441" s="9" t="inlineStr">
        <is>
          <t>no</t>
        </is>
      </c>
      <c r="O441" s="9" t="inlineStr">
        <is>
          <t>unknown</t>
        </is>
      </c>
      <c r="P441" s="9" t="inlineStr"/>
      <c r="Q441" s="9" t="n">
        <v>0</v>
      </c>
      <c r="R441" s="59" t="inlineStr">
        <is>
          <t>I had a great experience. Thank you. Hoping for better discounts next time!</t>
        </is>
      </c>
      <c r="S441" s="9" t="inlineStr">
        <is>
          <t>praise</t>
        </is>
      </c>
      <c r="T441" s="9" t="inlineStr">
        <is>
          <t>praise</t>
        </is>
      </c>
      <c r="U441" s="59" t="inlineStr"/>
    </row>
    <row r="442">
      <c r="A442" s="9" t="n">
        <v>441</v>
      </c>
      <c r="B442" s="58" t="n">
        <v>46210</v>
      </c>
      <c r="C442" s="9" t="str">
        <f>TEXT(B442,"yyyy-mm")</f>
        <v>2026-07</v>
      </c>
      <c r="D442" s="9" t="n">
        <v>1</v>
      </c>
      <c r="E442" s="9" t="inlineStr">
        <is>
          <t>18.2.0</t>
        </is>
      </c>
      <c r="F442" s="59" t="inlineStr">
        <is>
          <t>Over Priced</t>
        </is>
      </c>
      <c r="G442" s="59" t="inlineStr">
        <is>
          <t>There shud be price revision</t>
        </is>
      </c>
      <c r="H442" s="9" t="inlineStr">
        <is>
          <t>other</t>
        </is>
      </c>
      <c r="I442" s="9" t="inlineStr">
        <is>
          <t>other_issue</t>
        </is>
      </c>
      <c r="J442" s="9" t="inlineStr"/>
      <c r="K442" s="9" t="inlineStr">
        <is>
          <t>no</t>
        </is>
      </c>
      <c r="L442" s="9" t="inlineStr">
        <is>
          <t>no</t>
        </is>
      </c>
      <c r="M442" s="9" t="inlineStr">
        <is>
          <t>low</t>
        </is>
      </c>
      <c r="N442" s="9" t="inlineStr">
        <is>
          <t>no</t>
        </is>
      </c>
      <c r="O442" s="9" t="inlineStr">
        <is>
          <t>unknown</t>
        </is>
      </c>
      <c r="P442" s="9" t="inlineStr"/>
      <c r="Q442" s="9" t="n">
        <v>0</v>
      </c>
      <c r="R442" s="59" t="inlineStr">
        <is>
          <t>Over Priced | There shud be price revision</t>
        </is>
      </c>
      <c r="S442" s="9" t="inlineStr">
        <is>
          <t>other</t>
        </is>
      </c>
      <c r="T442" s="9" t="inlineStr">
        <is>
          <t>other</t>
        </is>
      </c>
      <c r="U442" s="59" t="inlineStr"/>
    </row>
    <row r="443">
      <c r="A443" s="9" t="n">
        <v>442</v>
      </c>
      <c r="B443" s="58" t="n">
        <v>46209</v>
      </c>
      <c r="C443" s="9" t="str">
        <f>TEXT(B443,"yyyy-mm")</f>
        <v>2026-07</v>
      </c>
      <c r="D443" s="9" t="n">
        <v>1</v>
      </c>
      <c r="E443" s="9" t="inlineStr">
        <is>
          <t>18.2.0</t>
        </is>
      </c>
      <c r="F443" s="59" t="inlineStr">
        <is>
          <t>Worst professionalism</t>
        </is>
      </c>
      <c r="G443" s="59" t="inlineStr">
        <is>
          <t>I spent 20 mins to find out and beat spa morning at 0830 am to book a slot at 1230. At 1130 am i received a call that professional is not coming so new slot of 0230 is given. Last moment change of time from their side looks common and they take your time for granted. Would never recommend.</t>
        </is>
      </c>
      <c r="H443" s="9" t="inlineStr">
        <is>
          <t>partner_cancellation</t>
        </is>
      </c>
      <c r="I443" s="9" t="inlineStr">
        <is>
          <t>last_minute_cancel</t>
        </is>
      </c>
      <c r="J443" s="9" t="inlineStr"/>
      <c r="K443" s="9" t="inlineStr">
        <is>
          <t>no</t>
        </is>
      </c>
      <c r="L443" s="9" t="inlineStr">
        <is>
          <t>no</t>
        </is>
      </c>
      <c r="M443" s="9" t="inlineStr">
        <is>
          <t>medium</t>
        </is>
      </c>
      <c r="N443" s="9" t="inlineStr">
        <is>
          <t>no</t>
        </is>
      </c>
      <c r="O443" s="9" t="inlineStr">
        <is>
          <t>massage_spa</t>
        </is>
      </c>
      <c r="P443" s="9" t="inlineStr"/>
      <c r="Q443" s="9" t="n">
        <v>0</v>
      </c>
      <c r="R443" s="59" t="inlineStr">
        <is>
          <t>At 1130 am i received a call that professional is not coming so new slot of 0230 is given.</t>
        </is>
      </c>
      <c r="S443" s="9" t="inlineStr">
        <is>
          <t>partner_cancellation</t>
        </is>
      </c>
      <c r="T443" s="9" t="inlineStr">
        <is>
          <t>partner_cancellation</t>
        </is>
      </c>
      <c r="U443" s="59" t="inlineStr"/>
    </row>
    <row r="444">
      <c r="A444" s="9" t="n">
        <v>443</v>
      </c>
      <c r="B444" s="58" t="n">
        <v>46208</v>
      </c>
      <c r="C444" s="9" t="str">
        <f>TEXT(B444,"yyyy-mm")</f>
        <v>2026-07</v>
      </c>
      <c r="D444" s="9" t="n">
        <v>5</v>
      </c>
      <c r="E444" s="9" t="inlineStr">
        <is>
          <t>18.2.0</t>
        </is>
      </c>
      <c r="F444" s="59" t="inlineStr">
        <is>
          <t>[name]</t>
        </is>
      </c>
      <c r="G444" s="59" t="inlineStr">
        <is>
          <t>Her service is Good</t>
        </is>
      </c>
      <c r="H444" s="9" t="inlineStr">
        <is>
          <t>praise</t>
        </is>
      </c>
      <c r="I444" s="9" t="inlineStr">
        <is>
          <t>praise_professional</t>
        </is>
      </c>
      <c r="J444" s="9" t="inlineStr"/>
      <c r="K444" s="9" t="inlineStr">
        <is>
          <t>no</t>
        </is>
      </c>
      <c r="L444" s="9" t="inlineStr">
        <is>
          <t>no</t>
        </is>
      </c>
      <c r="M444" s="9" t="inlineStr">
        <is>
          <t>none</t>
        </is>
      </c>
      <c r="N444" s="9" t="inlineStr">
        <is>
          <t>no</t>
        </is>
      </c>
      <c r="O444" s="9" t="inlineStr">
        <is>
          <t>unknown</t>
        </is>
      </c>
      <c r="P444" s="9" t="inlineStr"/>
      <c r="Q444" s="9" t="n">
        <v>0</v>
      </c>
      <c r="R444" s="59" t="inlineStr">
        <is>
          <t>Her service is Good</t>
        </is>
      </c>
      <c r="S444" s="9" t="inlineStr">
        <is>
          <t>praise</t>
        </is>
      </c>
      <c r="T444" s="9" t="inlineStr">
        <is>
          <t>praise</t>
        </is>
      </c>
      <c r="U444" s="59" t="inlineStr"/>
    </row>
    <row r="445">
      <c r="A445" s="9" t="n">
        <v>444</v>
      </c>
      <c r="B445" s="58" t="n">
        <v>46208</v>
      </c>
      <c r="C445" s="9" t="str">
        <f>TEXT(B445,"yyyy-mm")</f>
        <v>2026-07</v>
      </c>
      <c r="D445" s="9" t="n">
        <v>5</v>
      </c>
      <c r="E445" s="9" t="inlineStr">
        <is>
          <t>18.2.0</t>
        </is>
      </c>
      <c r="F445" s="59" t="inlineStr">
        <is>
          <t>[name]</t>
        </is>
      </c>
      <c r="G445" s="59" t="inlineStr">
        <is>
          <t>Comforting experience  and very helpful lady</t>
        </is>
      </c>
      <c r="H445" s="9" t="inlineStr">
        <is>
          <t>praise</t>
        </is>
      </c>
      <c r="I445" s="9" t="inlineStr">
        <is>
          <t>praise_professional</t>
        </is>
      </c>
      <c r="J445" s="9" t="inlineStr"/>
      <c r="K445" s="9" t="inlineStr">
        <is>
          <t>no</t>
        </is>
      </c>
      <c r="L445" s="9" t="inlineStr">
        <is>
          <t>no</t>
        </is>
      </c>
      <c r="M445" s="9" t="inlineStr">
        <is>
          <t>none</t>
        </is>
      </c>
      <c r="N445" s="9" t="inlineStr">
        <is>
          <t>no</t>
        </is>
      </c>
      <c r="O445" s="9" t="inlineStr">
        <is>
          <t>unknown</t>
        </is>
      </c>
      <c r="P445" s="9" t="inlineStr"/>
      <c r="Q445" s="9" t="n">
        <v>0</v>
      </c>
      <c r="R445" s="59" t="inlineStr">
        <is>
          <t>Comforting experience and very helpful lady</t>
        </is>
      </c>
      <c r="S445" s="9" t="inlineStr">
        <is>
          <t>praise</t>
        </is>
      </c>
      <c r="T445" s="9" t="inlineStr">
        <is>
          <t>praise</t>
        </is>
      </c>
      <c r="U445" s="59" t="inlineStr"/>
    </row>
    <row r="446">
      <c r="A446" s="9" t="n">
        <v>445</v>
      </c>
      <c r="B446" s="58" t="n">
        <v>46208</v>
      </c>
      <c r="C446" s="9" t="str">
        <f>TEXT(B446,"yyyy-mm")</f>
        <v>2026-07</v>
      </c>
      <c r="D446" s="9" t="n">
        <v>5</v>
      </c>
      <c r="E446" s="9" t="inlineStr">
        <is>
          <t>18.2.0</t>
        </is>
      </c>
      <c r="F446" s="59" t="inlineStr">
        <is>
          <t>[name] review</t>
        </is>
      </c>
      <c r="G446" s="59" t="inlineStr">
        <is>
          <t>[name] is professional and sweet .Must recommend her</t>
        </is>
      </c>
      <c r="H446" s="9" t="inlineStr">
        <is>
          <t>praise</t>
        </is>
      </c>
      <c r="I446" s="9" t="inlineStr">
        <is>
          <t>praise_professional</t>
        </is>
      </c>
      <c r="J446" s="9" t="inlineStr"/>
      <c r="K446" s="9" t="inlineStr">
        <is>
          <t>no</t>
        </is>
      </c>
      <c r="L446" s="9" t="inlineStr">
        <is>
          <t>no</t>
        </is>
      </c>
      <c r="M446" s="9" t="inlineStr">
        <is>
          <t>none</t>
        </is>
      </c>
      <c r="N446" s="9" t="inlineStr">
        <is>
          <t>no</t>
        </is>
      </c>
      <c r="O446" s="9" t="inlineStr">
        <is>
          <t>unknown</t>
        </is>
      </c>
      <c r="P446" s="9" t="inlineStr"/>
      <c r="Q446" s="9" t="n">
        <v>0</v>
      </c>
      <c r="R446" s="59" t="inlineStr">
        <is>
          <t>[name] is professional and sweet .Must recommend her</t>
        </is>
      </c>
      <c r="S446" s="9" t="inlineStr">
        <is>
          <t>praise</t>
        </is>
      </c>
      <c r="T446" s="9" t="inlineStr">
        <is>
          <t>praise</t>
        </is>
      </c>
      <c r="U446" s="59" t="inlineStr"/>
    </row>
    <row r="447">
      <c r="A447" s="9" t="n">
        <v>446</v>
      </c>
      <c r="B447" s="58" t="n">
        <v>46208</v>
      </c>
      <c r="C447" s="9" t="str">
        <f>TEXT(B447,"yyyy-mm")</f>
        <v>2026-07</v>
      </c>
      <c r="D447" s="9" t="n">
        <v>1</v>
      </c>
      <c r="E447" s="9" t="inlineStr">
        <is>
          <t>18.2.0</t>
        </is>
      </c>
      <c r="F447" s="59" t="inlineStr">
        <is>
          <t>Worst experience</t>
        </is>
      </c>
      <c r="G447" s="59" t="inlineStr">
        <is>
          <t>Worst app they take the bookings and call to cancel it due to various reasons and then the Manager calls to provide a good service and then also no one shows up for the service and Manager blocks the number so we can not connect… don’t waste time and energy for this app total waste and mood spolier.</t>
        </is>
      </c>
      <c r="H447" s="9" t="inlineStr">
        <is>
          <t>partner_cancellation</t>
        </is>
      </c>
      <c r="I447" s="9" t="inlineStr">
        <is>
          <t>no_show</t>
        </is>
      </c>
      <c r="J447" s="9" t="inlineStr">
        <is>
          <t>support</t>
        </is>
      </c>
      <c r="K447" s="9" t="inlineStr">
        <is>
          <t>yes</t>
        </is>
      </c>
      <c r="L447" s="9" t="inlineStr">
        <is>
          <t>yes</t>
        </is>
      </c>
      <c r="M447" s="9" t="inlineStr">
        <is>
          <t>medium</t>
        </is>
      </c>
      <c r="N447" s="9" t="inlineStr">
        <is>
          <t>no</t>
        </is>
      </c>
      <c r="O447" s="9" t="inlineStr">
        <is>
          <t>unknown</t>
        </is>
      </c>
      <c r="P447" s="9" t="inlineStr"/>
      <c r="Q447" s="9" t="n">
        <v>0</v>
      </c>
      <c r="R447" s="59" t="inlineStr">
        <is>
          <t>the Manager calls to provide a good service and then also no one shows up for the service</t>
        </is>
      </c>
      <c r="S447" s="9" t="inlineStr">
        <is>
          <t>partner_cancellation</t>
        </is>
      </c>
      <c r="T447" s="9" t="inlineStr">
        <is>
          <t>partner_cancellation</t>
        </is>
      </c>
      <c r="U447" s="59" t="inlineStr"/>
    </row>
    <row r="448">
      <c r="A448" s="9" t="n">
        <v>447</v>
      </c>
      <c r="B448" s="58" t="n">
        <v>46208</v>
      </c>
      <c r="C448" s="9" t="str">
        <f>TEXT(B448,"yyyy-mm")</f>
        <v>2026-07</v>
      </c>
      <c r="D448" s="9" t="n">
        <v>1</v>
      </c>
      <c r="E448" s="9" t="inlineStr">
        <is>
          <t>18.2.0</t>
        </is>
      </c>
      <c r="F448" s="59" t="inlineStr">
        <is>
          <t>Poor services</t>
        </is>
      </c>
      <c r="G448" s="59" t="inlineStr">
        <is>
          <t>Poor services</t>
        </is>
      </c>
      <c r="H448" s="9" t="inlineStr">
        <is>
          <t>other</t>
        </is>
      </c>
      <c r="I448" s="9" t="inlineStr">
        <is>
          <t>unclear</t>
        </is>
      </c>
      <c r="J448" s="9" t="inlineStr"/>
      <c r="K448" s="9" t="inlineStr">
        <is>
          <t>no</t>
        </is>
      </c>
      <c r="L448" s="9" t="inlineStr">
        <is>
          <t>no</t>
        </is>
      </c>
      <c r="M448" s="9" t="inlineStr">
        <is>
          <t>low</t>
        </is>
      </c>
      <c r="N448" s="9" t="inlineStr">
        <is>
          <t>no</t>
        </is>
      </c>
      <c r="O448" s="9" t="inlineStr">
        <is>
          <t>unknown</t>
        </is>
      </c>
      <c r="P448" s="9" t="inlineStr"/>
      <c r="Q448" s="9" t="n">
        <v>0</v>
      </c>
      <c r="R448" s="59" t="inlineStr">
        <is>
          <t>Poor services | Poor services</t>
        </is>
      </c>
      <c r="S448" s="9" t="inlineStr">
        <is>
          <t>other</t>
        </is>
      </c>
      <c r="T448" s="9" t="inlineStr">
        <is>
          <t>other</t>
        </is>
      </c>
      <c r="U448" s="59" t="inlineStr"/>
    </row>
    <row r="449">
      <c r="A449" s="9" t="n">
        <v>448</v>
      </c>
      <c r="B449" s="58" t="n">
        <v>46208</v>
      </c>
      <c r="C449" s="9" t="str">
        <f>TEXT(B449,"yyyy-mm")</f>
        <v>2026-07</v>
      </c>
      <c r="D449" s="9" t="n">
        <v>5</v>
      </c>
      <c r="E449" s="9" t="inlineStr">
        <is>
          <t>18.2.0</t>
        </is>
      </c>
      <c r="F449" s="59" t="inlineStr">
        <is>
          <t>Skilled professionals</t>
        </is>
      </c>
      <c r="G449" s="59" t="inlineStr">
        <is>
          <t>I had an excellent full body and head massage experience. The therapist was highly professional, respectful, and skilled throughout the session. The massage pressure was perfectly balanced, helping to relieve muscle tension and reduce stress. The head massage was especially relaxing and left me feeling completely refreshed. The environment was clean, hygienic, and peaceful, making the entire experience comfortable from start to finish. I truly appreciated the therapist's attention to detail and professionalism. I would definitely recommend this service to anyone looking for genuine relaxation and muscle recovery</t>
        </is>
      </c>
      <c r="H449" s="9" t="inlineStr">
        <is>
          <t>praise</t>
        </is>
      </c>
      <c r="I449" s="9" t="inlineStr">
        <is>
          <t>praise_professional</t>
        </is>
      </c>
      <c r="J449" s="9" t="inlineStr"/>
      <c r="K449" s="9" t="inlineStr">
        <is>
          <t>no</t>
        </is>
      </c>
      <c r="L449" s="9" t="inlineStr">
        <is>
          <t>no</t>
        </is>
      </c>
      <c r="M449" s="9" t="inlineStr">
        <is>
          <t>none</t>
        </is>
      </c>
      <c r="N449" s="9" t="inlineStr">
        <is>
          <t>no</t>
        </is>
      </c>
      <c r="O449" s="9" t="inlineStr">
        <is>
          <t>massage_spa</t>
        </is>
      </c>
      <c r="P449" s="9" t="inlineStr"/>
      <c r="Q449" s="9" t="n">
        <v>0</v>
      </c>
      <c r="R449" s="59" t="inlineStr">
        <is>
          <t>The therapist was highly professional, respectful, and skilled throughout the session.</t>
        </is>
      </c>
      <c r="S449" s="9" t="inlineStr">
        <is>
          <t>praise</t>
        </is>
      </c>
      <c r="T449" s="9" t="inlineStr">
        <is>
          <t>praise</t>
        </is>
      </c>
      <c r="U449" s="59" t="inlineStr"/>
    </row>
    <row r="450">
      <c r="A450" s="9" t="n">
        <v>449</v>
      </c>
      <c r="B450" s="58" t="n">
        <v>46206</v>
      </c>
      <c r="C450" s="9" t="str">
        <f>TEXT(B450,"yyyy-mm")</f>
        <v>2026-07</v>
      </c>
      <c r="D450" s="9" t="n">
        <v>5</v>
      </c>
      <c r="E450" s="9" t="inlineStr">
        <is>
          <t>18.2.0</t>
        </is>
      </c>
      <c r="F450" s="59" t="inlineStr">
        <is>
          <t>Best service</t>
        </is>
      </c>
      <c r="G450" s="59" t="inlineStr">
        <is>
          <t>10/10</t>
        </is>
      </c>
      <c r="H450" s="9" t="inlineStr">
        <is>
          <t>praise</t>
        </is>
      </c>
      <c r="I450" s="9" t="inlineStr">
        <is>
          <t>praise_service</t>
        </is>
      </c>
      <c r="J450" s="9" t="inlineStr"/>
      <c r="K450" s="9" t="inlineStr">
        <is>
          <t>no</t>
        </is>
      </c>
      <c r="L450" s="9" t="inlineStr">
        <is>
          <t>no</t>
        </is>
      </c>
      <c r="M450" s="9" t="inlineStr">
        <is>
          <t>none</t>
        </is>
      </c>
      <c r="N450" s="9" t="inlineStr">
        <is>
          <t>no</t>
        </is>
      </c>
      <c r="O450" s="9" t="inlineStr">
        <is>
          <t>unknown</t>
        </is>
      </c>
      <c r="P450" s="9" t="inlineStr"/>
      <c r="Q450" s="9" t="n">
        <v>0</v>
      </c>
      <c r="R450" s="59" t="inlineStr">
        <is>
          <t>Best service | 10/10</t>
        </is>
      </c>
      <c r="S450" s="9" t="inlineStr">
        <is>
          <t>praise</t>
        </is>
      </c>
      <c r="T450" s="9" t="inlineStr">
        <is>
          <t>praise</t>
        </is>
      </c>
      <c r="U450" s="59" t="inlineStr"/>
    </row>
    <row r="451">
      <c r="A451" s="9" t="n">
        <v>450</v>
      </c>
      <c r="B451" s="58" t="n">
        <v>46206</v>
      </c>
      <c r="C451" s="9" t="str">
        <f>TEXT(B451,"yyyy-mm")</f>
        <v>2026-07</v>
      </c>
      <c r="D451" s="9" t="n">
        <v>1</v>
      </c>
      <c r="E451" s="9" t="inlineStr">
        <is>
          <t>18.2.0</t>
        </is>
      </c>
      <c r="F451" s="59" t="inlineStr">
        <is>
          <t>Worst service company</t>
        </is>
      </c>
      <c r="G451" s="59" t="inlineStr">
        <is>
          <t>Worst app that i have ever used. Worst services and worst service centre. Wasted my entire day to get one service done. Pathetic app which doesnot show the quantity of product properly because of which the professional dont know how many products to bring. If anyone wants to get salon home services better to use urban company never ever use Yes madam. A total fraud and time wasting company. Wasted my entire day and didn’t even refund the amount.</t>
        </is>
      </c>
      <c r="H451" s="9" t="inlineStr">
        <is>
          <t>app</t>
        </is>
      </c>
      <c r="I451" s="9" t="inlineStr">
        <is>
          <t>booking_or_checkout_bug</t>
        </is>
      </c>
      <c r="J451" s="9" t="inlineStr">
        <is>
          <t>product_fit, payment_refund, support</t>
        </is>
      </c>
      <c r="K451" s="9" t="inlineStr">
        <is>
          <t>no</t>
        </is>
      </c>
      <c r="L451" s="9" t="inlineStr">
        <is>
          <t>no</t>
        </is>
      </c>
      <c r="M451" s="9" t="inlineStr">
        <is>
          <t>high</t>
        </is>
      </c>
      <c r="N451" s="9" t="inlineStr">
        <is>
          <t>yes</t>
        </is>
      </c>
      <c r="O451" s="9" t="inlineStr">
        <is>
          <t>unknown</t>
        </is>
      </c>
      <c r="P451" s="9" t="inlineStr"/>
      <c r="Q451" s="9" t="n">
        <v>0</v>
      </c>
      <c r="R451" s="59" t="inlineStr">
        <is>
          <t>Pathetic app which doesnot show the quantity of product properly because of which the professional dont know how many products to bring.</t>
        </is>
      </c>
      <c r="S451" s="9" t="inlineStr">
        <is>
          <t>app</t>
        </is>
      </c>
      <c r="T451" s="9" t="inlineStr">
        <is>
          <t>app</t>
        </is>
      </c>
      <c r="U451" s="59" t="inlineStr"/>
    </row>
    <row r="452">
      <c r="A452" s="9" t="n">
        <v>451</v>
      </c>
      <c r="B452" s="58" t="n">
        <v>46206</v>
      </c>
      <c r="C452" s="9" t="str">
        <f>TEXT(B452,"yyyy-mm")</f>
        <v>2026-07</v>
      </c>
      <c r="D452" s="9" t="n">
        <v>5</v>
      </c>
      <c r="E452" s="9" t="inlineStr">
        <is>
          <t>18.2.0</t>
        </is>
      </c>
      <c r="F452" s="59" t="inlineStr">
        <is>
          <t>Services given by [name]</t>
        </is>
      </c>
      <c r="G452" s="59" t="inlineStr">
        <is>
          <t>She is really amazing, highly recommended ❤️✨</t>
        </is>
      </c>
      <c r="H452" s="9" t="inlineStr">
        <is>
          <t>praise</t>
        </is>
      </c>
      <c r="I452" s="9" t="inlineStr">
        <is>
          <t>praise_professional</t>
        </is>
      </c>
      <c r="J452" s="9" t="inlineStr"/>
      <c r="K452" s="9" t="inlineStr">
        <is>
          <t>no</t>
        </is>
      </c>
      <c r="L452" s="9" t="inlineStr">
        <is>
          <t>no</t>
        </is>
      </c>
      <c r="M452" s="9" t="inlineStr">
        <is>
          <t>none</t>
        </is>
      </c>
      <c r="N452" s="9" t="inlineStr">
        <is>
          <t>no</t>
        </is>
      </c>
      <c r="O452" s="9" t="inlineStr">
        <is>
          <t>unknown</t>
        </is>
      </c>
      <c r="P452" s="9" t="inlineStr"/>
      <c r="Q452" s="9" t="n">
        <v>0</v>
      </c>
      <c r="R452" s="59" t="inlineStr">
        <is>
          <t>She is really amazing, highly recommended ❤️✨</t>
        </is>
      </c>
      <c r="S452" s="9" t="inlineStr">
        <is>
          <t>praise</t>
        </is>
      </c>
      <c r="T452" s="9" t="inlineStr">
        <is>
          <t>praise</t>
        </is>
      </c>
      <c r="U452" s="59" t="inlineStr"/>
    </row>
    <row r="453">
      <c r="A453" s="9" t="n">
        <v>452</v>
      </c>
      <c r="B453" s="58" t="n">
        <v>46206</v>
      </c>
      <c r="C453" s="9" t="str">
        <f>TEXT(B453,"yyyy-mm")</f>
        <v>2026-07</v>
      </c>
      <c r="D453" s="9" t="n">
        <v>3</v>
      </c>
      <c r="E453" s="9" t="inlineStr">
        <is>
          <t>18.2.0</t>
        </is>
      </c>
      <c r="F453" s="59" t="inlineStr">
        <is>
          <t>Pathetic Customer care</t>
        </is>
      </c>
      <c r="G453" s="59" t="inlineStr">
        <is>
          <t>While the service provided by Yes Madam is good, their Customer care sucks. I tried reaching them using different IVR options but never succeeded. They have limited IVR options and none lead to a human who can listen to and solve your problem. I think I am done with this app now.</t>
        </is>
      </c>
      <c r="H453" s="9" t="inlineStr">
        <is>
          <t>support</t>
        </is>
      </c>
      <c r="I453" s="9" t="inlineStr">
        <is>
          <t>unreachable</t>
        </is>
      </c>
      <c r="J453" s="9" t="inlineStr"/>
      <c r="K453" s="9" t="inlineStr">
        <is>
          <t>yes</t>
        </is>
      </c>
      <c r="L453" s="9" t="inlineStr">
        <is>
          <t>yes</t>
        </is>
      </c>
      <c r="M453" s="9" t="inlineStr">
        <is>
          <t>medium</t>
        </is>
      </c>
      <c r="N453" s="9" t="inlineStr">
        <is>
          <t>yes</t>
        </is>
      </c>
      <c r="O453" s="9" t="inlineStr">
        <is>
          <t>unknown</t>
        </is>
      </c>
      <c r="P453" s="9" t="inlineStr"/>
      <c r="Q453" s="9" t="n">
        <v>0</v>
      </c>
      <c r="R453" s="59" t="inlineStr">
        <is>
          <t>I tried reaching them using different IVR options but never succeeded.</t>
        </is>
      </c>
      <c r="S453" s="9" t="inlineStr">
        <is>
          <t>support</t>
        </is>
      </c>
      <c r="T453" s="9" t="inlineStr">
        <is>
          <t>support</t>
        </is>
      </c>
      <c r="U453" s="59" t="inlineStr"/>
    </row>
    <row r="454">
      <c r="A454" s="9" t="n">
        <v>453</v>
      </c>
      <c r="B454" s="58" t="n">
        <v>46206</v>
      </c>
      <c r="C454" s="9" t="str">
        <f>TEXT(B454,"yyyy-mm")</f>
        <v>2026-07</v>
      </c>
      <c r="D454" s="9" t="n">
        <v>2</v>
      </c>
      <c r="E454" s="9" t="inlineStr">
        <is>
          <t>18.2.0</t>
        </is>
      </c>
      <c r="F454" s="59" t="inlineStr">
        <is>
          <t>Cleanup</t>
        </is>
      </c>
      <c r="G454" s="59" t="inlineStr">
        <is>
          <t>It should specifically be mentioned that all cleanup are without steam.That’s not very effective cleanup</t>
        </is>
      </c>
      <c r="H454" s="9" t="inlineStr">
        <is>
          <t>service_quality</t>
        </is>
      </c>
      <c r="I454" s="9" t="inlineStr">
        <is>
          <t>rushed_or_incomplete</t>
        </is>
      </c>
      <c r="J454" s="9" t="inlineStr"/>
      <c r="K454" s="9" t="inlineStr">
        <is>
          <t>no</t>
        </is>
      </c>
      <c r="L454" s="9" t="inlineStr">
        <is>
          <t>no</t>
        </is>
      </c>
      <c r="M454" s="9" t="inlineStr">
        <is>
          <t>low</t>
        </is>
      </c>
      <c r="N454" s="9" t="inlineStr">
        <is>
          <t>no</t>
        </is>
      </c>
      <c r="O454" s="9" t="inlineStr">
        <is>
          <t>facial_cleanup</t>
        </is>
      </c>
      <c r="P454" s="9" t="inlineStr"/>
      <c r="Q454" s="9" t="n">
        <v>0</v>
      </c>
      <c r="R454" s="59" t="inlineStr">
        <is>
          <t>It should specifically be mentioned that all cleanup are without steam.That’s not very effective cleanup</t>
        </is>
      </c>
      <c r="S454" s="9" t="inlineStr">
        <is>
          <t>service_quality</t>
        </is>
      </c>
      <c r="T454" s="9" t="inlineStr">
        <is>
          <t>service_quality</t>
        </is>
      </c>
      <c r="U454" s="59" t="inlineStr"/>
    </row>
    <row r="455">
      <c r="A455" s="9" t="n">
        <v>454</v>
      </c>
      <c r="B455" s="58" t="n">
        <v>46205</v>
      </c>
      <c r="C455" s="9" t="str">
        <f>TEXT(B455,"yyyy-mm")</f>
        <v>2026-07</v>
      </c>
      <c r="D455" s="9" t="n">
        <v>5</v>
      </c>
      <c r="E455" s="9" t="inlineStr">
        <is>
          <t>18.2.0</t>
        </is>
      </c>
      <c r="F455" s="59" t="inlineStr">
        <is>
          <t>[name]</t>
        </is>
      </c>
      <c r="G455" s="59" t="inlineStr">
        <is>
          <t>Very good experience</t>
        </is>
      </c>
      <c r="H455" s="9" t="inlineStr">
        <is>
          <t>praise</t>
        </is>
      </c>
      <c r="I455" s="9" t="inlineStr">
        <is>
          <t>praise_professional</t>
        </is>
      </c>
      <c r="J455" s="9" t="inlineStr"/>
      <c r="K455" s="9" t="inlineStr">
        <is>
          <t>no</t>
        </is>
      </c>
      <c r="L455" s="9" t="inlineStr">
        <is>
          <t>no</t>
        </is>
      </c>
      <c r="M455" s="9" t="inlineStr">
        <is>
          <t>none</t>
        </is>
      </c>
      <c r="N455" s="9" t="inlineStr">
        <is>
          <t>no</t>
        </is>
      </c>
      <c r="O455" s="9" t="inlineStr">
        <is>
          <t>unknown</t>
        </is>
      </c>
      <c r="P455" s="9" t="inlineStr"/>
      <c r="Q455" s="9" t="n">
        <v>0</v>
      </c>
      <c r="R455" s="59" t="inlineStr">
        <is>
          <t>Very good experience</t>
        </is>
      </c>
      <c r="S455" s="9" t="inlineStr">
        <is>
          <t>praise</t>
        </is>
      </c>
      <c r="T455" s="9" t="inlineStr">
        <is>
          <t>praise</t>
        </is>
      </c>
      <c r="U455" s="59" t="inlineStr"/>
    </row>
    <row r="456">
      <c r="A456" s="9" t="n">
        <v>455</v>
      </c>
      <c r="B456" s="58" t="n">
        <v>46205</v>
      </c>
      <c r="C456" s="9" t="str">
        <f>TEXT(B456,"yyyy-mm")</f>
        <v>2026-07</v>
      </c>
      <c r="D456" s="9" t="n">
        <v>3</v>
      </c>
      <c r="E456" s="9" t="inlineStr">
        <is>
          <t>18.2.0</t>
        </is>
      </c>
      <c r="F456" s="59" t="inlineStr">
        <is>
          <t>USED FREEBIE GIVEN</t>
        </is>
      </c>
      <c r="G456" s="59" t="inlineStr">
        <is>
          <t>I was given a free head massager by the staff, which I appreciated at first. However, when I looked at it closely, I found what appeared to be men’s hair strands on it, making it seem used rather than new. That was very disappointing and unhygienic. Even if it’s a complimentary item, customers should receive clean, unused products. This experience left a poor impression.</t>
        </is>
      </c>
      <c r="H456" s="9" t="inlineStr">
        <is>
          <t>product_fit</t>
        </is>
      </c>
      <c r="I456" s="9" t="inlineStr">
        <is>
          <t>product_quality</t>
        </is>
      </c>
      <c r="J456" s="9" t="inlineStr">
        <is>
          <t>service_quality</t>
        </is>
      </c>
      <c r="K456" s="9" t="inlineStr">
        <is>
          <t>no</t>
        </is>
      </c>
      <c r="L456" s="9" t="inlineStr">
        <is>
          <t>no</t>
        </is>
      </c>
      <c r="M456" s="9" t="inlineStr">
        <is>
          <t>low</t>
        </is>
      </c>
      <c r="N456" s="9" t="inlineStr">
        <is>
          <t>no</t>
        </is>
      </c>
      <c r="O456" s="9" t="inlineStr">
        <is>
          <t>unknown</t>
        </is>
      </c>
      <c r="P456" s="9" t="inlineStr"/>
      <c r="Q456" s="9" t="n">
        <v>0</v>
      </c>
      <c r="R456" s="59" t="inlineStr">
        <is>
          <t>I found what appeared to be men’s hair strands on it, making it seem used rather than new.</t>
        </is>
      </c>
      <c r="S456" s="9" t="inlineStr">
        <is>
          <t>product_fit</t>
        </is>
      </c>
      <c r="T456" s="9" t="inlineStr">
        <is>
          <t>product_fit</t>
        </is>
      </c>
      <c r="U456" s="59" t="inlineStr"/>
    </row>
    <row r="457">
      <c r="A457" s="9" t="n">
        <v>456</v>
      </c>
      <c r="B457" s="58" t="n">
        <v>46205</v>
      </c>
      <c r="C457" s="9" t="str">
        <f>TEXT(B457,"yyyy-mm")</f>
        <v>2026-07</v>
      </c>
      <c r="D457" s="9" t="n">
        <v>1</v>
      </c>
      <c r="E457" s="9" t="inlineStr">
        <is>
          <t>18.2.0</t>
        </is>
      </c>
      <c r="F457" s="59" t="inlineStr">
        <is>
          <t>Bad quality wax</t>
        </is>
      </c>
      <c r="G457" s="59" t="inlineStr">
        <is>
          <t>Wax was of bad quality. My skin ripped off after waxing.</t>
        </is>
      </c>
      <c r="H457" s="9" t="inlineStr">
        <is>
          <t>product_fit</t>
        </is>
      </c>
      <c r="I457" s="9" t="inlineStr">
        <is>
          <t>product_reaction</t>
        </is>
      </c>
      <c r="J457" s="9" t="inlineStr"/>
      <c r="K457" s="9" t="inlineStr">
        <is>
          <t>no</t>
        </is>
      </c>
      <c r="L457" s="9" t="inlineStr">
        <is>
          <t>no</t>
        </is>
      </c>
      <c r="M457" s="9" t="inlineStr">
        <is>
          <t>high</t>
        </is>
      </c>
      <c r="N457" s="9" t="inlineStr">
        <is>
          <t>no</t>
        </is>
      </c>
      <c r="O457" s="9" t="inlineStr">
        <is>
          <t>waxing</t>
        </is>
      </c>
      <c r="P457" s="9" t="inlineStr"/>
      <c r="Q457" s="9" t="n">
        <v>0</v>
      </c>
      <c r="R457" s="59" t="inlineStr">
        <is>
          <t>Wax was of bad quality. My skin ripped off after waxing.</t>
        </is>
      </c>
      <c r="S457" s="9" t="inlineStr">
        <is>
          <t>product_fit</t>
        </is>
      </c>
      <c r="T457" s="9" t="inlineStr">
        <is>
          <t>product_fit</t>
        </is>
      </c>
      <c r="U457" s="59" t="inlineStr"/>
    </row>
    <row r="458">
      <c r="A458" s="9" t="n">
        <v>457</v>
      </c>
      <c r="B458" s="58" t="n">
        <v>46205</v>
      </c>
      <c r="C458" s="9" t="str">
        <f>TEXT(B458,"yyyy-mm")</f>
        <v>2026-07</v>
      </c>
      <c r="D458" s="9" t="n">
        <v>1</v>
      </c>
      <c r="E458" s="9" t="inlineStr">
        <is>
          <t>18.2.0</t>
        </is>
      </c>
      <c r="F458" s="59" t="inlineStr">
        <is>
          <t>Worst</t>
        </is>
      </c>
      <c r="G458" s="59" t="inlineStr">
        <is>
          <t>Don’t trust them. They are not at all professionals, even your housemaid can do a better job. My skin has severally been peeled after taking the waxing service and guess what they called me after sending a mail , that is also to say a simple sorry. They don’t even have humanity, I’ve got dark marks on my arms 3-4 places and now I need to go for laser therapy, worst . Fraud</t>
        </is>
      </c>
      <c r="H458" s="9" t="inlineStr">
        <is>
          <t>service_quality</t>
        </is>
      </c>
      <c r="I458" s="9" t="inlineStr">
        <is>
          <t>skin_injury_or_reaction</t>
        </is>
      </c>
      <c r="J458" s="9" t="inlineStr">
        <is>
          <t>support</t>
        </is>
      </c>
      <c r="K458" s="9" t="inlineStr">
        <is>
          <t>yes</t>
        </is>
      </c>
      <c r="L458" s="9" t="inlineStr">
        <is>
          <t>yes</t>
        </is>
      </c>
      <c r="M458" s="9" t="inlineStr">
        <is>
          <t>high</t>
        </is>
      </c>
      <c r="N458" s="9" t="inlineStr">
        <is>
          <t>no</t>
        </is>
      </c>
      <c r="O458" s="9" t="inlineStr">
        <is>
          <t>waxing</t>
        </is>
      </c>
      <c r="P458" s="9" t="inlineStr"/>
      <c r="Q458" s="9" t="n">
        <v>0</v>
      </c>
      <c r="R458" s="59" t="inlineStr">
        <is>
          <t>They are not at all professionals, even your housemaid can do a better job. My skin has severally been peeled after taking the waxing service</t>
        </is>
      </c>
      <c r="S458" s="9" t="inlineStr">
        <is>
          <t>service_quality</t>
        </is>
      </c>
      <c r="T458" s="9" t="inlineStr">
        <is>
          <t>service_quality</t>
        </is>
      </c>
      <c r="U458" s="59" t="inlineStr"/>
    </row>
    <row r="459">
      <c r="A459" s="9" t="n">
        <v>458</v>
      </c>
      <c r="B459" s="58" t="n">
        <v>46205</v>
      </c>
      <c r="C459" s="9" t="str">
        <f>TEXT(B459,"yyyy-mm")</f>
        <v>2026-07</v>
      </c>
      <c r="D459" s="9" t="n">
        <v>1</v>
      </c>
      <c r="E459" s="9" t="inlineStr">
        <is>
          <t>18.2.0</t>
        </is>
      </c>
      <c r="F459" s="59" t="inlineStr">
        <is>
          <t>Worst</t>
        </is>
      </c>
      <c r="G459" s="59" t="inlineStr">
        <is>
          <t>I got a facial done from them, and it completely damaged my skin. I would not recommend anyone to get a facial from them.</t>
        </is>
      </c>
      <c r="H459" s="9" t="inlineStr">
        <is>
          <t>service_quality</t>
        </is>
      </c>
      <c r="I459" s="9" t="inlineStr">
        <is>
          <t>skin_injury_or_reaction</t>
        </is>
      </c>
      <c r="J459" s="9" t="inlineStr"/>
      <c r="K459" s="9" t="inlineStr">
        <is>
          <t>no</t>
        </is>
      </c>
      <c r="L459" s="9" t="inlineStr">
        <is>
          <t>no</t>
        </is>
      </c>
      <c r="M459" s="9" t="inlineStr">
        <is>
          <t>high</t>
        </is>
      </c>
      <c r="N459" s="9" t="inlineStr">
        <is>
          <t>no</t>
        </is>
      </c>
      <c r="O459" s="9" t="inlineStr">
        <is>
          <t>facial_cleanup</t>
        </is>
      </c>
      <c r="P459" s="9" t="inlineStr"/>
      <c r="Q459" s="9" t="n">
        <v>0</v>
      </c>
      <c r="R459" s="59" t="inlineStr">
        <is>
          <t>I got a facial done from them, and it completely damaged my skin.</t>
        </is>
      </c>
      <c r="S459" s="9" t="inlineStr">
        <is>
          <t>service_quality</t>
        </is>
      </c>
      <c r="T459" s="9" t="inlineStr">
        <is>
          <t>service_quality</t>
        </is>
      </c>
      <c r="U459" s="59" t="inlineStr"/>
    </row>
    <row r="460">
      <c r="A460" s="9" t="n">
        <v>459</v>
      </c>
      <c r="B460" s="58" t="n">
        <v>46204</v>
      </c>
      <c r="C460" s="9" t="str">
        <f>TEXT(B460,"yyyy-mm")</f>
        <v>2026-07</v>
      </c>
      <c r="D460" s="9" t="n">
        <v>1</v>
      </c>
      <c r="E460" s="9" t="inlineStr">
        <is>
          <t>18.2.0</t>
        </is>
      </c>
      <c r="F460" s="59" t="inlineStr">
        <is>
          <t>Fraud</t>
        </is>
      </c>
      <c r="G460" s="59" t="inlineStr">
        <is>
          <t>I made the booking a week ago, and they took ₹3,000 from me. At the last moment, they canceled my booking, claiming that no agency was available. They still have not refunded my money, and they are not responding to my calls or messages. This is completely unprofessional and feels like a scam. They are misleading customers and wasting people's time. I strongly advise everyone not to book with them.</t>
        </is>
      </c>
      <c r="H460" s="9" t="inlineStr">
        <is>
          <t>payment_refund</t>
        </is>
      </c>
      <c r="I460" s="9" t="inlineStr">
        <is>
          <t>refund_delayed</t>
        </is>
      </c>
      <c r="J460" s="9" t="inlineStr">
        <is>
          <t>partner_cancellation, support</t>
        </is>
      </c>
      <c r="K460" s="9" t="inlineStr">
        <is>
          <t>yes</t>
        </is>
      </c>
      <c r="L460" s="9" t="inlineStr">
        <is>
          <t>yes</t>
        </is>
      </c>
      <c r="M460" s="9" t="inlineStr">
        <is>
          <t>high</t>
        </is>
      </c>
      <c r="N460" s="9" t="inlineStr">
        <is>
          <t>no</t>
        </is>
      </c>
      <c r="O460" s="9" t="inlineStr">
        <is>
          <t>unknown</t>
        </is>
      </c>
      <c r="P460" s="9" t="inlineStr"/>
      <c r="Q460" s="9" t="n">
        <v>3000</v>
      </c>
      <c r="R460" s="59" t="inlineStr">
        <is>
          <t>They still have not refunded my money, and they are not responding to my calls or messages.</t>
        </is>
      </c>
      <c r="S460" s="9" t="inlineStr">
        <is>
          <t>payment_refund</t>
        </is>
      </c>
      <c r="T460" s="9" t="inlineStr">
        <is>
          <t>payment_refund</t>
        </is>
      </c>
      <c r="U460" s="59" t="inlineStr"/>
    </row>
    <row r="461">
      <c r="A461" s="9" t="n">
        <v>460</v>
      </c>
      <c r="B461" s="58" t="n">
        <v>46204</v>
      </c>
      <c r="C461" s="9" t="str">
        <f>TEXT(B461,"yyyy-mm")</f>
        <v>2026-07</v>
      </c>
      <c r="D461" s="9" t="n">
        <v>5</v>
      </c>
      <c r="E461" s="9" t="inlineStr">
        <is>
          <t>18.2.0</t>
        </is>
      </c>
      <c r="F461" s="59" t="inlineStr">
        <is>
          <t>Nice</t>
        </is>
      </c>
      <c r="G461" s="59" t="inlineStr">
        <is>
          <t>I like yes madam</t>
        </is>
      </c>
      <c r="H461" s="9" t="inlineStr">
        <is>
          <t>praise</t>
        </is>
      </c>
      <c r="I461" s="9" t="inlineStr">
        <is>
          <t>praise_service</t>
        </is>
      </c>
      <c r="J461" s="9" t="inlineStr"/>
      <c r="K461" s="9" t="inlineStr">
        <is>
          <t>no</t>
        </is>
      </c>
      <c r="L461" s="9" t="inlineStr">
        <is>
          <t>no</t>
        </is>
      </c>
      <c r="M461" s="9" t="inlineStr">
        <is>
          <t>none</t>
        </is>
      </c>
      <c r="N461" s="9" t="inlineStr">
        <is>
          <t>no</t>
        </is>
      </c>
      <c r="O461" s="9" t="inlineStr">
        <is>
          <t>unknown</t>
        </is>
      </c>
      <c r="P461" s="9" t="inlineStr"/>
      <c r="Q461" s="9" t="n">
        <v>0</v>
      </c>
      <c r="R461" s="59" t="inlineStr">
        <is>
          <t>I like yes madam</t>
        </is>
      </c>
      <c r="S461" s="9" t="inlineStr">
        <is>
          <t>praise</t>
        </is>
      </c>
      <c r="T461" s="9" t="inlineStr">
        <is>
          <t>praise</t>
        </is>
      </c>
      <c r="U461" s="59" t="inlineStr"/>
    </row>
    <row r="462">
      <c r="A462" s="9" t="n">
        <v>461</v>
      </c>
      <c r="B462" s="58" t="n">
        <v>46203</v>
      </c>
      <c r="C462" s="9" t="str">
        <f>TEXT(B462,"yyyy-mm")</f>
        <v>2026-06</v>
      </c>
      <c r="D462" s="9" t="n">
        <v>1</v>
      </c>
      <c r="E462" s="9" t="inlineStr">
        <is>
          <t>18.2.0</t>
        </is>
      </c>
      <c r="F462" s="59" t="inlineStr">
        <is>
          <t>Bkwas Service</t>
        </is>
      </c>
      <c r="G462" s="59" t="inlineStr">
        <is>
          <t>Very disappointing service. I would not recommend using this company. They booked my appointment and then canceled it without informing me. I didn’t receive any call, message, or notification. If I hadn’t contacted customer support through the chat, I would have been left waiting the whole day. This level of service is completely unacceptable.</t>
        </is>
      </c>
      <c r="H462" s="9" t="inlineStr">
        <is>
          <t>partner_cancellation</t>
        </is>
      </c>
      <c r="I462" s="9" t="inlineStr">
        <is>
          <t>last_minute_cancel</t>
        </is>
      </c>
      <c r="J462" s="9" t="inlineStr"/>
      <c r="K462" s="9" t="inlineStr">
        <is>
          <t>yes</t>
        </is>
      </c>
      <c r="L462" s="9" t="inlineStr">
        <is>
          <t>no</t>
        </is>
      </c>
      <c r="M462" s="9" t="inlineStr">
        <is>
          <t>medium</t>
        </is>
      </c>
      <c r="N462" s="9" t="inlineStr">
        <is>
          <t>no</t>
        </is>
      </c>
      <c r="O462" s="9" t="inlineStr">
        <is>
          <t>unknown</t>
        </is>
      </c>
      <c r="P462" s="9" t="inlineStr"/>
      <c r="Q462" s="9" t="n">
        <v>0</v>
      </c>
      <c r="R462" s="59" t="inlineStr">
        <is>
          <t>They booked my appointment and then canceled it without informing me. I didn’t receive any call, message, or notification.</t>
        </is>
      </c>
      <c r="S462" s="9" t="inlineStr">
        <is>
          <t>partner_cancellation</t>
        </is>
      </c>
      <c r="T462" s="9" t="inlineStr">
        <is>
          <t>partner_cancellation</t>
        </is>
      </c>
      <c r="U462" s="59" t="inlineStr"/>
    </row>
    <row r="463">
      <c r="A463" s="9" t="n">
        <v>462</v>
      </c>
      <c r="B463" s="58" t="n">
        <v>46203</v>
      </c>
      <c r="C463" s="9" t="str">
        <f>TEXT(B463,"yyyy-mm")</f>
        <v>2026-06</v>
      </c>
      <c r="D463" s="9" t="n">
        <v>1</v>
      </c>
      <c r="E463" s="9" t="inlineStr">
        <is>
          <t>18.2.0</t>
        </is>
      </c>
      <c r="F463" s="59" t="inlineStr">
        <is>
          <t>Total Pricing</t>
        </is>
      </c>
      <c r="G463" s="59" t="inlineStr">
        <is>
          <t>Something is wrong in the application , it’s showing a difference in total amount to be paid . This should be taken care</t>
        </is>
      </c>
      <c r="H463" s="9" t="inlineStr">
        <is>
          <t>price_clarity</t>
        </is>
      </c>
      <c r="I463" s="9" t="inlineStr">
        <is>
          <t>price_mismatch</t>
        </is>
      </c>
      <c r="J463" s="9" t="inlineStr">
        <is>
          <t>app</t>
        </is>
      </c>
      <c r="K463" s="9" t="inlineStr">
        <is>
          <t>no</t>
        </is>
      </c>
      <c r="L463" s="9" t="inlineStr">
        <is>
          <t>no</t>
        </is>
      </c>
      <c r="M463" s="9" t="inlineStr">
        <is>
          <t>low</t>
        </is>
      </c>
      <c r="N463" s="9" t="inlineStr">
        <is>
          <t>no</t>
        </is>
      </c>
      <c r="O463" s="9" t="inlineStr">
        <is>
          <t>unknown</t>
        </is>
      </c>
      <c r="P463" s="9" t="inlineStr"/>
      <c r="Q463" s="9" t="n">
        <v>0</v>
      </c>
      <c r="R463" s="59" t="inlineStr">
        <is>
          <t>Something is wrong in the application , it’s showing a difference in total amount to be paid</t>
        </is>
      </c>
      <c r="S463" s="9" t="inlineStr">
        <is>
          <t>price_clarity</t>
        </is>
      </c>
      <c r="T463" s="9" t="inlineStr">
        <is>
          <t>price_clarity</t>
        </is>
      </c>
      <c r="U463" s="59" t="inlineStr"/>
    </row>
    <row r="464">
      <c r="A464" s="9" t="n">
        <v>463</v>
      </c>
      <c r="B464" s="58" t="n">
        <v>46202</v>
      </c>
      <c r="C464" s="9" t="str">
        <f>TEXT(B464,"yyyy-mm")</f>
        <v>2026-06</v>
      </c>
      <c r="D464" s="9" t="n">
        <v>1</v>
      </c>
      <c r="E464" s="9" t="inlineStr">
        <is>
          <t>18.2.0</t>
        </is>
      </c>
      <c r="F464" s="59" t="inlineStr">
        <is>
          <t>Worst Service</t>
        </is>
      </c>
      <c r="G464" s="59" t="inlineStr">
        <is>
          <t>Such a pathetic service with their products. They charge too much for the product which is not usable for the next time . Their wax is of no use for the next service done after a month. So you end up paying them for their cheap product and service fee. I had to cancel my service two times in mid because their products were expired which professional herself mentioned.</t>
        </is>
      </c>
      <c r="H464" s="9" t="inlineStr">
        <is>
          <t>product_fit</t>
        </is>
      </c>
      <c r="I464" s="9" t="inlineStr">
        <is>
          <t>product_quality</t>
        </is>
      </c>
      <c r="J464" s="9" t="inlineStr"/>
      <c r="K464" s="9" t="inlineStr">
        <is>
          <t>no</t>
        </is>
      </c>
      <c r="L464" s="9" t="inlineStr">
        <is>
          <t>no</t>
        </is>
      </c>
      <c r="M464" s="9" t="inlineStr">
        <is>
          <t>medium</t>
        </is>
      </c>
      <c r="N464" s="9" t="inlineStr">
        <is>
          <t>no</t>
        </is>
      </c>
      <c r="O464" s="9" t="inlineStr">
        <is>
          <t>waxing</t>
        </is>
      </c>
      <c r="P464" s="9" t="inlineStr"/>
      <c r="Q464" s="9" t="n">
        <v>0</v>
      </c>
      <c r="R464" s="59" t="inlineStr">
        <is>
          <t>I had to cancel my service two times in mid because their products were expired which professional herself mentioned.</t>
        </is>
      </c>
      <c r="S464" s="9" t="inlineStr">
        <is>
          <t>product_fit</t>
        </is>
      </c>
      <c r="T464" s="9" t="inlineStr">
        <is>
          <t>product_fit</t>
        </is>
      </c>
      <c r="U464" s="59" t="inlineStr"/>
    </row>
    <row r="465">
      <c r="A465" s="9" t="n">
        <v>464</v>
      </c>
      <c r="B465" s="58" t="n">
        <v>46202</v>
      </c>
      <c r="C465" s="9" t="str">
        <f>TEXT(B465,"yyyy-mm")</f>
        <v>2026-06</v>
      </c>
      <c r="D465" s="9" t="n">
        <v>1</v>
      </c>
      <c r="E465" s="9" t="inlineStr">
        <is>
          <t>18.2.0</t>
        </is>
      </c>
      <c r="F465" s="59" t="inlineStr">
        <is>
          <t>Bad service</t>
        </is>
      </c>
      <c r="G465" s="59" t="inlineStr">
        <is>
          <t>I also had a bad experience where she burnt my upper lip while waxing !</t>
        </is>
      </c>
      <c r="H465" s="9" t="inlineStr">
        <is>
          <t>service_quality</t>
        </is>
      </c>
      <c r="I465" s="9" t="inlineStr">
        <is>
          <t>skin_injury_or_reaction</t>
        </is>
      </c>
      <c r="J465" s="9" t="inlineStr"/>
      <c r="K465" s="9" t="inlineStr">
        <is>
          <t>no</t>
        </is>
      </c>
      <c r="L465" s="9" t="inlineStr">
        <is>
          <t>no</t>
        </is>
      </c>
      <c r="M465" s="9" t="inlineStr">
        <is>
          <t>high</t>
        </is>
      </c>
      <c r="N465" s="9" t="inlineStr">
        <is>
          <t>no</t>
        </is>
      </c>
      <c r="O465" s="9" t="inlineStr">
        <is>
          <t>waxing</t>
        </is>
      </c>
      <c r="P465" s="9" t="inlineStr"/>
      <c r="Q465" s="9" t="n">
        <v>0</v>
      </c>
      <c r="R465" s="59" t="inlineStr">
        <is>
          <t>I also had a bad experience where she burnt my upper lip while waxing !</t>
        </is>
      </c>
      <c r="S465" s="9" t="inlineStr">
        <is>
          <t>service_quality</t>
        </is>
      </c>
      <c r="T465" s="9" t="inlineStr">
        <is>
          <t>service_quality</t>
        </is>
      </c>
      <c r="U465" s="59" t="inlineStr"/>
    </row>
    <row r="466">
      <c r="A466" s="9" t="n">
        <v>465</v>
      </c>
      <c r="B466" s="58" t="n">
        <v>46202</v>
      </c>
      <c r="C466" s="9" t="str">
        <f>TEXT(B466,"yyyy-mm")</f>
        <v>2026-06</v>
      </c>
      <c r="D466" s="9" t="n">
        <v>5</v>
      </c>
      <c r="E466" s="9" t="inlineStr">
        <is>
          <t>18.2.0</t>
        </is>
      </c>
      <c r="F466" s="59" t="inlineStr">
        <is>
          <t>Vid</t>
        </is>
      </c>
      <c r="G466" s="59" t="inlineStr">
        <is>
          <t>Superb Experience</t>
        </is>
      </c>
      <c r="H466" s="9" t="inlineStr">
        <is>
          <t>praise</t>
        </is>
      </c>
      <c r="I466" s="9" t="inlineStr">
        <is>
          <t>praise_service</t>
        </is>
      </c>
      <c r="J466" s="9" t="inlineStr"/>
      <c r="K466" s="9" t="inlineStr">
        <is>
          <t>no</t>
        </is>
      </c>
      <c r="L466" s="9" t="inlineStr">
        <is>
          <t>no</t>
        </is>
      </c>
      <c r="M466" s="9" t="inlineStr">
        <is>
          <t>none</t>
        </is>
      </c>
      <c r="N466" s="9" t="inlineStr">
        <is>
          <t>no</t>
        </is>
      </c>
      <c r="O466" s="9" t="inlineStr">
        <is>
          <t>unknown</t>
        </is>
      </c>
      <c r="P466" s="9" t="inlineStr"/>
      <c r="Q466" s="9" t="n">
        <v>0</v>
      </c>
      <c r="R466" s="59" t="inlineStr">
        <is>
          <t>Superb Experience</t>
        </is>
      </c>
      <c r="S466" s="9" t="inlineStr">
        <is>
          <t>praise</t>
        </is>
      </c>
      <c r="T466" s="9" t="inlineStr">
        <is>
          <t>praise</t>
        </is>
      </c>
      <c r="U466" s="59" t="inlineStr"/>
    </row>
    <row r="467">
      <c r="A467" s="9" t="n">
        <v>466</v>
      </c>
      <c r="B467" s="58" t="n">
        <v>46202</v>
      </c>
      <c r="C467" s="9" t="str">
        <f>TEXT(B467,"yyyy-mm")</f>
        <v>2026-06</v>
      </c>
      <c r="D467" s="9" t="n">
        <v>5</v>
      </c>
      <c r="E467" s="9" t="inlineStr">
        <is>
          <t>18.2.0</t>
        </is>
      </c>
      <c r="F467" s="59" t="inlineStr">
        <is>
          <t>Na</t>
        </is>
      </c>
      <c r="G467" s="59" t="inlineStr">
        <is>
          <t>Na</t>
        </is>
      </c>
      <c r="H467" s="9" t="inlineStr">
        <is>
          <t>praise</t>
        </is>
      </c>
      <c r="I467" s="9" t="inlineStr">
        <is>
          <t>praise_service</t>
        </is>
      </c>
      <c r="J467" s="9" t="inlineStr"/>
      <c r="K467" s="9" t="inlineStr">
        <is>
          <t>no</t>
        </is>
      </c>
      <c r="L467" s="9" t="inlineStr">
        <is>
          <t>no</t>
        </is>
      </c>
      <c r="M467" s="9" t="inlineStr">
        <is>
          <t>none</t>
        </is>
      </c>
      <c r="N467" s="9" t="inlineStr">
        <is>
          <t>no</t>
        </is>
      </c>
      <c r="O467" s="9" t="inlineStr">
        <is>
          <t>unknown</t>
        </is>
      </c>
      <c r="P467" s="9" t="inlineStr"/>
      <c r="Q467" s="9" t="n">
        <v>0</v>
      </c>
      <c r="R467" s="59" t="inlineStr">
        <is>
          <t>Na | Na</t>
        </is>
      </c>
      <c r="S467" s="9" t="inlineStr">
        <is>
          <t>praise</t>
        </is>
      </c>
      <c r="T467" s="9" t="inlineStr">
        <is>
          <t>praise</t>
        </is>
      </c>
      <c r="U467" s="59" t="inlineStr"/>
    </row>
    <row r="468">
      <c r="A468" s="9" t="n">
        <v>467</v>
      </c>
      <c r="B468" s="58" t="n">
        <v>46201</v>
      </c>
      <c r="C468" s="9" t="str">
        <f>TEXT(B468,"yyyy-mm")</f>
        <v>2026-06</v>
      </c>
      <c r="D468" s="9" t="n">
        <v>5</v>
      </c>
      <c r="E468" s="9" t="inlineStr">
        <is>
          <t>18.2.0</t>
        </is>
      </c>
      <c r="F468" s="59" t="inlineStr">
        <is>
          <t>Yes madam service</t>
        </is>
      </c>
      <c r="G468" s="59" t="inlineStr">
        <is>
          <t>[name]_pitampura highly recommended</t>
        </is>
      </c>
      <c r="H468" s="9" t="inlineStr">
        <is>
          <t>praise</t>
        </is>
      </c>
      <c r="I468" s="9" t="inlineStr">
        <is>
          <t>praise_professional</t>
        </is>
      </c>
      <c r="J468" s="9" t="inlineStr"/>
      <c r="K468" s="9" t="inlineStr">
        <is>
          <t>no</t>
        </is>
      </c>
      <c r="L468" s="9" t="inlineStr">
        <is>
          <t>no</t>
        </is>
      </c>
      <c r="M468" s="9" t="inlineStr">
        <is>
          <t>none</t>
        </is>
      </c>
      <c r="N468" s="9" t="inlineStr">
        <is>
          <t>no</t>
        </is>
      </c>
      <c r="O468" s="9" t="inlineStr">
        <is>
          <t>unknown</t>
        </is>
      </c>
      <c r="P468" s="9" t="inlineStr">
        <is>
          <t>Delhi</t>
        </is>
      </c>
      <c r="Q468" s="9" t="n">
        <v>0</v>
      </c>
      <c r="R468" s="59" t="inlineStr">
        <is>
          <t>[name]_pitampura highly recommended</t>
        </is>
      </c>
      <c r="S468" s="9" t="inlineStr">
        <is>
          <t>praise</t>
        </is>
      </c>
      <c r="T468" s="9" t="inlineStr">
        <is>
          <t>praise</t>
        </is>
      </c>
      <c r="U468" s="59" t="inlineStr"/>
    </row>
    <row r="469">
      <c r="A469" s="9" t="n">
        <v>468</v>
      </c>
      <c r="B469" s="58" t="n">
        <v>46201</v>
      </c>
      <c r="C469" s="9" t="str">
        <f>TEXT(B469,"yyyy-mm")</f>
        <v>2026-06</v>
      </c>
      <c r="D469" s="9" t="n">
        <v>1</v>
      </c>
      <c r="E469" s="9" t="inlineStr">
        <is>
          <t>18.2.0</t>
        </is>
      </c>
      <c r="F469" s="59" t="inlineStr">
        <is>
          <t>Shut the app</t>
        </is>
      </c>
      <c r="G469" s="59" t="inlineStr">
        <is>
          <t>What the hellll is wrong with this app..? Today for the 6thhh time i got dumpeddd waiting for the therapist to come...!! 
Noooo therapist everrr pick calls or responds even if we messege them one day prior...!
Everyyy freaking time they would cancel and reschedule 
At this point im gonna put some reviews on social media with my million follower
The funder has to understand that its notttt workingggg outtttt</t>
        </is>
      </c>
      <c r="H469" s="9" t="inlineStr">
        <is>
          <t>partner_cancellation</t>
        </is>
      </c>
      <c r="I469" s="9" t="inlineStr">
        <is>
          <t>repeated_reschedule</t>
        </is>
      </c>
      <c r="J469" s="9" t="inlineStr"/>
      <c r="K469" s="9" t="inlineStr">
        <is>
          <t>no</t>
        </is>
      </c>
      <c r="L469" s="9" t="inlineStr">
        <is>
          <t>no</t>
        </is>
      </c>
      <c r="M469" s="9" t="inlineStr">
        <is>
          <t>medium</t>
        </is>
      </c>
      <c r="N469" s="9" t="inlineStr">
        <is>
          <t>no</t>
        </is>
      </c>
      <c r="O469" s="9" t="inlineStr">
        <is>
          <t>massage_spa</t>
        </is>
      </c>
      <c r="P469" s="9" t="inlineStr"/>
      <c r="Q469" s="9" t="n">
        <v>0</v>
      </c>
      <c r="R469" s="59" t="inlineStr">
        <is>
          <t>Today for the 6thhh time i got dumpeddd waiting for the therapist to come...!! Everyyy freaking time they would cancel and reschedule</t>
        </is>
      </c>
      <c r="S469" s="9" t="inlineStr">
        <is>
          <t>partner_cancellation</t>
        </is>
      </c>
      <c r="T469" s="9" t="inlineStr">
        <is>
          <t>partner_cancellation</t>
        </is>
      </c>
      <c r="U469" s="59" t="inlineStr"/>
    </row>
    <row r="470">
      <c r="A470" s="9" t="n">
        <v>469</v>
      </c>
      <c r="B470" s="58" t="n">
        <v>46200</v>
      </c>
      <c r="C470" s="9" t="str">
        <f>TEXT(B470,"yyyy-mm")</f>
        <v>2026-06</v>
      </c>
      <c r="D470" s="9" t="n">
        <v>5</v>
      </c>
      <c r="E470" s="9" t="inlineStr">
        <is>
          <t>18.2.0</t>
        </is>
      </c>
      <c r="F470" s="59" t="inlineStr">
        <is>
          <t>Professional experts</t>
        </is>
      </c>
      <c r="G470" s="59" t="inlineStr">
        <is>
          <t>I am glad with the service. Experts are professional. And Thank you Yes madam. I am booking again for next service.</t>
        </is>
      </c>
      <c r="H470" s="9" t="inlineStr">
        <is>
          <t>praise</t>
        </is>
      </c>
      <c r="I470" s="9" t="inlineStr">
        <is>
          <t>praise_professional</t>
        </is>
      </c>
      <c r="J470" s="9" t="inlineStr"/>
      <c r="K470" s="9" t="inlineStr">
        <is>
          <t>no</t>
        </is>
      </c>
      <c r="L470" s="9" t="inlineStr">
        <is>
          <t>no</t>
        </is>
      </c>
      <c r="M470" s="9" t="inlineStr">
        <is>
          <t>none</t>
        </is>
      </c>
      <c r="N470" s="9" t="inlineStr">
        <is>
          <t>no</t>
        </is>
      </c>
      <c r="O470" s="9" t="inlineStr">
        <is>
          <t>unknown</t>
        </is>
      </c>
      <c r="P470" s="9" t="inlineStr"/>
      <c r="Q470" s="9" t="n">
        <v>0</v>
      </c>
      <c r="R470" s="59" t="inlineStr">
        <is>
          <t>I am glad with the service. Experts are professional. And Thank you Yes madam.</t>
        </is>
      </c>
      <c r="S470" s="9" t="inlineStr">
        <is>
          <t>praise</t>
        </is>
      </c>
      <c r="T470" s="9" t="inlineStr">
        <is>
          <t>praise</t>
        </is>
      </c>
      <c r="U470" s="59" t="inlineStr"/>
    </row>
    <row r="471">
      <c r="A471" s="9" t="n">
        <v>470</v>
      </c>
      <c r="B471" s="58" t="n">
        <v>46200</v>
      </c>
      <c r="C471" s="9" t="str">
        <f>TEXT(B471,"yyyy-mm")</f>
        <v>2026-06</v>
      </c>
      <c r="D471" s="9" t="n">
        <v>2</v>
      </c>
      <c r="E471" s="9" t="inlineStr">
        <is>
          <t>18.2.0</t>
        </is>
      </c>
      <c r="F471" s="59" t="inlineStr">
        <is>
          <t>Very expensive</t>
        </is>
      </c>
      <c r="G471" s="59" t="inlineStr">
        <is>
          <t>They say that they are cheaper than regular saloons and urban company but my experience was not good. The beautician was good, I booked waxing services for Rs.917 but when the beautician came she said one kit won’t be enough for you so I have to add and an extra kit, obviously I had to say ok but I added an extra service because the material from the extra kit was left, now they say that they charge for the material and labour charge separately so that is why I added extra service but still I had to pay the full amount for the extra service when no extra material was used. Its written that If you use your product then you will be charged with labour charges only but at the end of service my bill got doubled so I request everyone to not use this app. 
When you book a service through urban company they charge only single amount, even if extra material or services are needed you are not charged extra so be careful people.</t>
        </is>
      </c>
      <c r="H471" s="9" t="inlineStr">
        <is>
          <t>price_clarity</t>
        </is>
      </c>
      <c r="I471" s="9" t="inlineStr">
        <is>
          <t>hidden_charges</t>
        </is>
      </c>
      <c r="J471" s="9" t="inlineStr">
        <is>
          <t>product_fit</t>
        </is>
      </c>
      <c r="K471" s="9" t="inlineStr">
        <is>
          <t>no</t>
        </is>
      </c>
      <c r="L471" s="9" t="inlineStr">
        <is>
          <t>no</t>
        </is>
      </c>
      <c r="M471" s="9" t="inlineStr">
        <is>
          <t>high</t>
        </is>
      </c>
      <c r="N471" s="9" t="inlineStr">
        <is>
          <t>yes</t>
        </is>
      </c>
      <c r="O471" s="9" t="inlineStr">
        <is>
          <t>waxing</t>
        </is>
      </c>
      <c r="P471" s="9" t="inlineStr"/>
      <c r="Q471" s="9" t="n">
        <v>917</v>
      </c>
      <c r="R471" s="59" t="inlineStr">
        <is>
          <t>but at the end of service my bill got doubled so I request everyone to not use this app</t>
        </is>
      </c>
      <c r="S471" s="9" t="inlineStr">
        <is>
          <t>price_clarity</t>
        </is>
      </c>
      <c r="T471" s="9" t="inlineStr">
        <is>
          <t>price_clarity</t>
        </is>
      </c>
      <c r="U471" s="59" t="inlineStr"/>
    </row>
    <row r="472">
      <c r="A472" s="9" t="n">
        <v>471</v>
      </c>
      <c r="B472" s="58" t="n">
        <v>46200</v>
      </c>
      <c r="C472" s="9" t="str">
        <f>TEXT(B472,"yyyy-mm")</f>
        <v>2026-06</v>
      </c>
      <c r="D472" s="9" t="n">
        <v>1</v>
      </c>
      <c r="E472" s="9" t="inlineStr">
        <is>
          <t>18.2.0</t>
        </is>
      </c>
      <c r="F472" s="59" t="inlineStr">
        <is>
          <t>Unprofessional service</t>
        </is>
      </c>
      <c r="G472" s="59" t="inlineStr">
        <is>
          <t>Poor service by professionals I think they are unprofessional</t>
        </is>
      </c>
      <c r="H472" s="9" t="inlineStr">
        <is>
          <t>other</t>
        </is>
      </c>
      <c r="I472" s="9" t="inlineStr">
        <is>
          <t>unclear</t>
        </is>
      </c>
      <c r="J472" s="9" t="inlineStr"/>
      <c r="K472" s="9" t="inlineStr">
        <is>
          <t>no</t>
        </is>
      </c>
      <c r="L472" s="9" t="inlineStr">
        <is>
          <t>no</t>
        </is>
      </c>
      <c r="M472" s="9" t="inlineStr">
        <is>
          <t>low</t>
        </is>
      </c>
      <c r="N472" s="9" t="inlineStr">
        <is>
          <t>no</t>
        </is>
      </c>
      <c r="O472" s="9" t="inlineStr">
        <is>
          <t>unknown</t>
        </is>
      </c>
      <c r="P472" s="9" t="inlineStr"/>
      <c r="Q472" s="9" t="n">
        <v>0</v>
      </c>
      <c r="R472" s="59" t="inlineStr">
        <is>
          <t>Poor service by professionals I think they are unprofessional</t>
        </is>
      </c>
      <c r="S472" s="9" t="inlineStr">
        <is>
          <t>other</t>
        </is>
      </c>
      <c r="T472" s="9" t="inlineStr">
        <is>
          <t>other</t>
        </is>
      </c>
      <c r="U472" s="59" t="inlineStr"/>
    </row>
    <row r="473">
      <c r="A473" s="9" t="n">
        <v>472</v>
      </c>
      <c r="B473" s="58" t="n">
        <v>46199</v>
      </c>
      <c r="C473" s="9" t="str">
        <f>TEXT(B473,"yyyy-mm")</f>
        <v>2026-06</v>
      </c>
      <c r="D473" s="9" t="n">
        <v>5</v>
      </c>
      <c r="E473" s="9" t="inlineStr">
        <is>
          <t>18.2.0</t>
        </is>
      </c>
      <c r="F473" s="59" t="inlineStr">
        <is>
          <t>Hydra facial</t>
        </is>
      </c>
      <c r="G473" s="59" t="inlineStr">
        <is>
          <t>Mrs [name] did an excellent job with my mom’s collagen facial. Very professional, gentle, and attentive. We had a great experience</t>
        </is>
      </c>
      <c r="H473" s="9" t="inlineStr">
        <is>
          <t>praise</t>
        </is>
      </c>
      <c r="I473" s="9" t="inlineStr">
        <is>
          <t>praise_professional</t>
        </is>
      </c>
      <c r="J473" s="9" t="inlineStr"/>
      <c r="K473" s="9" t="inlineStr">
        <is>
          <t>no</t>
        </is>
      </c>
      <c r="L473" s="9" t="inlineStr">
        <is>
          <t>no</t>
        </is>
      </c>
      <c r="M473" s="9" t="inlineStr">
        <is>
          <t>none</t>
        </is>
      </c>
      <c r="N473" s="9" t="inlineStr">
        <is>
          <t>no</t>
        </is>
      </c>
      <c r="O473" s="9" t="inlineStr">
        <is>
          <t>facial_cleanup</t>
        </is>
      </c>
      <c r="P473" s="9" t="inlineStr"/>
      <c r="Q473" s="9" t="n">
        <v>0</v>
      </c>
      <c r="R473" s="59" t="inlineStr">
        <is>
          <t>Mrs [name] did an excellent job with my mom’s collagen facial. Very professional, gentle, and attentive.</t>
        </is>
      </c>
      <c r="S473" s="9" t="inlineStr">
        <is>
          <t>praise</t>
        </is>
      </c>
      <c r="T473" s="9" t="inlineStr">
        <is>
          <t>praise</t>
        </is>
      </c>
      <c r="U473" s="59" t="inlineStr"/>
    </row>
    <row r="474">
      <c r="A474" s="9" t="n">
        <v>473</v>
      </c>
      <c r="B474" s="58" t="n">
        <v>46199</v>
      </c>
      <c r="C474" s="9" t="str">
        <f>TEXT(B474,"yyyy-mm")</f>
        <v>2026-06</v>
      </c>
      <c r="D474" s="9" t="n">
        <v>5</v>
      </c>
      <c r="E474" s="9" t="inlineStr">
        <is>
          <t>18.2.0</t>
        </is>
      </c>
      <c r="F474" s="59" t="inlineStr">
        <is>
          <t>Waxing service</t>
        </is>
      </c>
      <c r="G474" s="59" t="inlineStr">
        <is>
          <t>We book [name] pitampura.. she did great job … we booked her second time … we are fully satisfied</t>
        </is>
      </c>
      <c r="H474" s="9" t="inlineStr">
        <is>
          <t>praise</t>
        </is>
      </c>
      <c r="I474" s="9" t="inlineStr">
        <is>
          <t>praise_professional</t>
        </is>
      </c>
      <c r="J474" s="9" t="inlineStr"/>
      <c r="K474" s="9" t="inlineStr">
        <is>
          <t>no</t>
        </is>
      </c>
      <c r="L474" s="9" t="inlineStr">
        <is>
          <t>no</t>
        </is>
      </c>
      <c r="M474" s="9" t="inlineStr">
        <is>
          <t>none</t>
        </is>
      </c>
      <c r="N474" s="9" t="inlineStr">
        <is>
          <t>no</t>
        </is>
      </c>
      <c r="O474" s="9" t="inlineStr">
        <is>
          <t>waxing</t>
        </is>
      </c>
      <c r="P474" s="9" t="inlineStr">
        <is>
          <t>Delhi</t>
        </is>
      </c>
      <c r="Q474" s="9" t="n">
        <v>0</v>
      </c>
      <c r="R474" s="59" t="inlineStr">
        <is>
          <t>We book [name] pitampura.. she did great job … we booked her second time … we are fully satisfied</t>
        </is>
      </c>
      <c r="S474" s="9" t="inlineStr">
        <is>
          <t>praise</t>
        </is>
      </c>
      <c r="T474" s="9" t="inlineStr">
        <is>
          <t>praise</t>
        </is>
      </c>
      <c r="U474" s="59" t="inlineStr"/>
    </row>
    <row r="475">
      <c r="A475" s="9" t="n">
        <v>474</v>
      </c>
      <c r="B475" s="58" t="n">
        <v>46199</v>
      </c>
      <c r="C475" s="9" t="str">
        <f>TEXT(B475,"yyyy-mm")</f>
        <v>2026-06</v>
      </c>
      <c r="D475" s="9" t="n">
        <v>1</v>
      </c>
      <c r="E475" s="9" t="inlineStr">
        <is>
          <t>18.2.0</t>
        </is>
      </c>
      <c r="F475" s="59" t="inlineStr">
        <is>
          <t>Worst laser treatment</t>
        </is>
      </c>
      <c r="G475" s="59" t="inlineStr">
        <is>
          <t>I have been taking there laser treatment for last 10 months but I don't see any results. Though I had high hopes and wasn't expecting this result but m annoyed to see no results. Please please don't go for there Laser services. There are ample of issues, they don't have proper experienced team, they are not even well educated. One of the providers came, she told me she's doing it for the part time after doing a certificate course.</t>
        </is>
      </c>
      <c r="H475" s="9" t="inlineStr">
        <is>
          <t>service_quality</t>
        </is>
      </c>
      <c r="I475" s="9" t="inlineStr">
        <is>
          <t>poor_skill</t>
        </is>
      </c>
      <c r="J475" s="9" t="inlineStr"/>
      <c r="K475" s="9" t="inlineStr">
        <is>
          <t>no</t>
        </is>
      </c>
      <c r="L475" s="9" t="inlineStr">
        <is>
          <t>no</t>
        </is>
      </c>
      <c r="M475" s="9" t="inlineStr">
        <is>
          <t>medium</t>
        </is>
      </c>
      <c r="N475" s="9" t="inlineStr">
        <is>
          <t>no</t>
        </is>
      </c>
      <c r="O475" s="9" t="inlineStr">
        <is>
          <t>laser_advanced</t>
        </is>
      </c>
      <c r="P475" s="9" t="inlineStr"/>
      <c r="Q475" s="9" t="n">
        <v>0</v>
      </c>
      <c r="R475" s="59" t="inlineStr">
        <is>
          <t>I have been taking there laser treatment for last 10 months but I don't see any results.</t>
        </is>
      </c>
      <c r="S475" s="9" t="inlineStr">
        <is>
          <t>service_quality</t>
        </is>
      </c>
      <c r="T475" s="9" t="inlineStr">
        <is>
          <t>service_quality</t>
        </is>
      </c>
      <c r="U475" s="59" t="inlineStr"/>
    </row>
    <row r="476">
      <c r="A476" s="9" t="n">
        <v>475</v>
      </c>
      <c r="B476" s="58" t="n">
        <v>46198</v>
      </c>
      <c r="C476" s="9" t="str">
        <f>TEXT(B476,"yyyy-mm")</f>
        <v>2026-06</v>
      </c>
      <c r="D476" s="9" t="n">
        <v>5</v>
      </c>
      <c r="E476" s="9" t="inlineStr">
        <is>
          <t>18.2.0</t>
        </is>
      </c>
      <c r="F476" s="59" t="inlineStr">
        <is>
          <t>[name] review</t>
        </is>
      </c>
      <c r="G476" s="59" t="inlineStr">
        <is>
          <t>[name] was super professional and did an amazing job.. I would only want her to do my services and I recommend her to all.. including my family and friends ❤️❤️</t>
        </is>
      </c>
      <c r="H476" s="9" t="inlineStr">
        <is>
          <t>praise</t>
        </is>
      </c>
      <c r="I476" s="9" t="inlineStr">
        <is>
          <t>praise_professional</t>
        </is>
      </c>
      <c r="J476" s="9" t="inlineStr"/>
      <c r="K476" s="9" t="inlineStr">
        <is>
          <t>no</t>
        </is>
      </c>
      <c r="L476" s="9" t="inlineStr">
        <is>
          <t>no</t>
        </is>
      </c>
      <c r="M476" s="9" t="inlineStr">
        <is>
          <t>none</t>
        </is>
      </c>
      <c r="N476" s="9" t="inlineStr">
        <is>
          <t>no</t>
        </is>
      </c>
      <c r="O476" s="9" t="inlineStr">
        <is>
          <t>unknown</t>
        </is>
      </c>
      <c r="P476" s="9" t="inlineStr"/>
      <c r="Q476" s="9" t="n">
        <v>0</v>
      </c>
      <c r="R476" s="59" t="inlineStr">
        <is>
          <t>[name] was super professional and did an amazing job.. I would only want her to do my services</t>
        </is>
      </c>
      <c r="S476" s="9" t="inlineStr">
        <is>
          <t>praise</t>
        </is>
      </c>
      <c r="T476" s="9" t="inlineStr">
        <is>
          <t>praise</t>
        </is>
      </c>
      <c r="U476" s="59" t="inlineStr"/>
    </row>
    <row r="477">
      <c r="A477" s="9" t="n">
        <v>476</v>
      </c>
      <c r="B477" s="58" t="n">
        <v>46198</v>
      </c>
      <c r="C477" s="9" t="str">
        <f>TEXT(B477,"yyyy-mm")</f>
        <v>2026-06</v>
      </c>
      <c r="D477" s="9" t="n">
        <v>5</v>
      </c>
      <c r="E477" s="9" t="inlineStr">
        <is>
          <t>18.2.0</t>
        </is>
      </c>
      <c r="F477" s="59" t="inlineStr">
        <is>
          <t>My experience</t>
        </is>
      </c>
      <c r="G477" s="59" t="inlineStr">
        <is>
          <t>Mashallah i had booking of waxing with the professional [name] she did a great job and provided me a wonderful service</t>
        </is>
      </c>
      <c r="H477" s="9" t="inlineStr">
        <is>
          <t>praise</t>
        </is>
      </c>
      <c r="I477" s="9" t="inlineStr">
        <is>
          <t>praise_professional</t>
        </is>
      </c>
      <c r="J477" s="9" t="inlineStr"/>
      <c r="K477" s="9" t="inlineStr">
        <is>
          <t>no</t>
        </is>
      </c>
      <c r="L477" s="9" t="inlineStr">
        <is>
          <t>no</t>
        </is>
      </c>
      <c r="M477" s="9" t="inlineStr">
        <is>
          <t>none</t>
        </is>
      </c>
      <c r="N477" s="9" t="inlineStr">
        <is>
          <t>no</t>
        </is>
      </c>
      <c r="O477" s="9" t="inlineStr">
        <is>
          <t>waxing</t>
        </is>
      </c>
      <c r="P477" s="9" t="inlineStr"/>
      <c r="Q477" s="9" t="n">
        <v>0</v>
      </c>
      <c r="R477" s="59" t="inlineStr">
        <is>
          <t>i had booking of waxing with the professional [name] she did a great job and provided me a wonderful service</t>
        </is>
      </c>
      <c r="S477" s="9" t="inlineStr">
        <is>
          <t>praise</t>
        </is>
      </c>
      <c r="T477" s="9" t="inlineStr">
        <is>
          <t>praise</t>
        </is>
      </c>
      <c r="U477" s="59" t="inlineStr"/>
    </row>
    <row r="478">
      <c r="A478" s="9" t="n">
        <v>477</v>
      </c>
      <c r="B478" s="58" t="n">
        <v>46198</v>
      </c>
      <c r="C478" s="9" t="str">
        <f>TEXT(B478,"yyyy-mm")</f>
        <v>2026-06</v>
      </c>
      <c r="D478" s="9" t="n">
        <v>5</v>
      </c>
      <c r="E478" s="9" t="inlineStr">
        <is>
          <t>18.2.0</t>
        </is>
      </c>
      <c r="F478" s="59" t="inlineStr">
        <is>
          <t>Happy with the job</t>
        </is>
      </c>
      <c r="G478" s="59" t="inlineStr">
        <is>
          <t>[name] did our waxing, hair colour application and pedicure. We are happy with the job. Kind respectful girl.  Just a Suggestion for the company- you can start using reusable products for the bed base, waxing application, wiping, etc since a lot of single use waste is generated in each visit. Or at least have the option for the customers if we want to select reusables.</t>
        </is>
      </c>
      <c r="H478" s="9" t="inlineStr">
        <is>
          <t>praise</t>
        </is>
      </c>
      <c r="I478" s="9" t="inlineStr">
        <is>
          <t>praise_professional</t>
        </is>
      </c>
      <c r="J478" s="9" t="inlineStr"/>
      <c r="K478" s="9" t="inlineStr">
        <is>
          <t>no</t>
        </is>
      </c>
      <c r="L478" s="9" t="inlineStr">
        <is>
          <t>no</t>
        </is>
      </c>
      <c r="M478" s="9" t="inlineStr">
        <is>
          <t>none</t>
        </is>
      </c>
      <c r="N478" s="9" t="inlineStr">
        <is>
          <t>no</t>
        </is>
      </c>
      <c r="O478" s="9" t="inlineStr">
        <is>
          <t>multiple</t>
        </is>
      </c>
      <c r="P478" s="9" t="inlineStr"/>
      <c r="Q478" s="9" t="n">
        <v>0</v>
      </c>
      <c r="R478" s="59" t="inlineStr">
        <is>
          <t>[name] did our waxing, hair colour application and pedicure. We are happy with the job. Kind respectful girl.</t>
        </is>
      </c>
      <c r="S478" s="9" t="inlineStr">
        <is>
          <t>praise</t>
        </is>
      </c>
      <c r="T478" s="9" t="inlineStr">
        <is>
          <t>praise</t>
        </is>
      </c>
      <c r="U478" s="59" t="inlineStr"/>
    </row>
    <row r="479">
      <c r="A479" s="9" t="n">
        <v>478</v>
      </c>
      <c r="B479" s="58" t="n">
        <v>46198</v>
      </c>
      <c r="C479" s="9" t="str">
        <f>TEXT(B479,"yyyy-mm")</f>
        <v>2026-06</v>
      </c>
      <c r="D479" s="9" t="n">
        <v>1</v>
      </c>
      <c r="E479" s="9" t="inlineStr">
        <is>
          <t>18.2.0</t>
        </is>
      </c>
      <c r="F479" s="59" t="inlineStr">
        <is>
          <t>Last minute cancellation</t>
        </is>
      </c>
      <c r="G479" s="59" t="inlineStr">
        <is>
          <t>Prebook and paid for services for next day and got confirmation call one hour ahead. But the service provider never reached inspite of waiting for 30 minutes and then asked to modify booking to next day.
What’s the point of precooking if you just cancel after making us wait for an hour on the day of booking.</t>
        </is>
      </c>
      <c r="H479" s="9" t="inlineStr">
        <is>
          <t>partner_cancellation</t>
        </is>
      </c>
      <c r="I479" s="9" t="inlineStr">
        <is>
          <t>no_show</t>
        </is>
      </c>
      <c r="J479" s="9" t="inlineStr"/>
      <c r="K479" s="9" t="inlineStr">
        <is>
          <t>no</t>
        </is>
      </c>
      <c r="L479" s="9" t="inlineStr">
        <is>
          <t>no</t>
        </is>
      </c>
      <c r="M479" s="9" t="inlineStr">
        <is>
          <t>medium</t>
        </is>
      </c>
      <c r="N479" s="9" t="inlineStr">
        <is>
          <t>no</t>
        </is>
      </c>
      <c r="O479" s="9" t="inlineStr">
        <is>
          <t>unknown</t>
        </is>
      </c>
      <c r="P479" s="9" t="inlineStr"/>
      <c r="Q479" s="9" t="n">
        <v>0</v>
      </c>
      <c r="R479" s="59" t="inlineStr">
        <is>
          <t>the service provider never reached inspite of waiting for 30 minutes and then asked to modify booking to next day</t>
        </is>
      </c>
      <c r="S479" s="9" t="inlineStr">
        <is>
          <t>partner_cancellation</t>
        </is>
      </c>
      <c r="T479" s="9" t="inlineStr">
        <is>
          <t>partner_cancellation</t>
        </is>
      </c>
      <c r="U479" s="59" t="inlineStr"/>
    </row>
    <row r="480">
      <c r="A480" s="9" t="n">
        <v>479</v>
      </c>
      <c r="B480" s="58" t="n">
        <v>46197</v>
      </c>
      <c r="C480" s="9" t="str">
        <f>TEXT(B480,"yyyy-mm")</f>
        <v>2026-06</v>
      </c>
      <c r="D480" s="9" t="n">
        <v>5</v>
      </c>
      <c r="E480" s="9" t="inlineStr">
        <is>
          <t>18.2.0</t>
        </is>
      </c>
      <c r="F480" s="59" t="inlineStr">
        <is>
          <t>[name]</t>
        </is>
      </c>
      <c r="G480" s="59" t="inlineStr">
        <is>
          <t>Her service was very good she is very polite and professional</t>
        </is>
      </c>
      <c r="H480" s="9" t="inlineStr">
        <is>
          <t>praise</t>
        </is>
      </c>
      <c r="I480" s="9" t="inlineStr">
        <is>
          <t>praise_professional</t>
        </is>
      </c>
      <c r="J480" s="9" t="inlineStr"/>
      <c r="K480" s="9" t="inlineStr">
        <is>
          <t>no</t>
        </is>
      </c>
      <c r="L480" s="9" t="inlineStr">
        <is>
          <t>no</t>
        </is>
      </c>
      <c r="M480" s="9" t="inlineStr">
        <is>
          <t>none</t>
        </is>
      </c>
      <c r="N480" s="9" t="inlineStr">
        <is>
          <t>no</t>
        </is>
      </c>
      <c r="O480" s="9" t="inlineStr">
        <is>
          <t>unknown</t>
        </is>
      </c>
      <c r="P480" s="9" t="inlineStr"/>
      <c r="Q480" s="9" t="n">
        <v>0</v>
      </c>
      <c r="R480" s="59" t="inlineStr">
        <is>
          <t>Her service was very good she is very polite and professional</t>
        </is>
      </c>
      <c r="S480" s="9" t="inlineStr">
        <is>
          <t>praise</t>
        </is>
      </c>
      <c r="T480" s="9" t="inlineStr">
        <is>
          <t>praise</t>
        </is>
      </c>
      <c r="U480" s="59" t="inlineStr"/>
    </row>
    <row r="481">
      <c r="A481" s="9" t="n">
        <v>480</v>
      </c>
      <c r="B481" s="58" t="n">
        <v>46197</v>
      </c>
      <c r="C481" s="9" t="str">
        <f>TEXT(B481,"yyyy-mm")</f>
        <v>2026-06</v>
      </c>
      <c r="D481" s="9" t="n">
        <v>1</v>
      </c>
      <c r="E481" s="9" t="inlineStr">
        <is>
          <t>18.2.0</t>
        </is>
      </c>
      <c r="F481" s="59" t="inlineStr">
        <is>
          <t>Professional artist</t>
        </is>
      </c>
      <c r="G481" s="59" t="inlineStr">
        <is>
          <t>Very bad service 👎🏻👎🏻👎🏻👎🏻👎🏻</t>
        </is>
      </c>
      <c r="H481" s="9" t="inlineStr">
        <is>
          <t>other</t>
        </is>
      </c>
      <c r="I481" s="9" t="inlineStr">
        <is>
          <t>unclear</t>
        </is>
      </c>
      <c r="J481" s="9" t="inlineStr"/>
      <c r="K481" s="9" t="inlineStr">
        <is>
          <t>no</t>
        </is>
      </c>
      <c r="L481" s="9" t="inlineStr">
        <is>
          <t>no</t>
        </is>
      </c>
      <c r="M481" s="9" t="inlineStr">
        <is>
          <t>low</t>
        </is>
      </c>
      <c r="N481" s="9" t="inlineStr">
        <is>
          <t>no</t>
        </is>
      </c>
      <c r="O481" s="9" t="inlineStr">
        <is>
          <t>unknown</t>
        </is>
      </c>
      <c r="P481" s="9" t="inlineStr"/>
      <c r="Q481" s="9" t="n">
        <v>0</v>
      </c>
      <c r="R481" s="59" t="inlineStr">
        <is>
          <t>Very bad service 👎🏻👎🏻👎🏻👎🏻👎🏻</t>
        </is>
      </c>
      <c r="S481" s="9" t="inlineStr">
        <is>
          <t>other</t>
        </is>
      </c>
      <c r="T481" s="9" t="inlineStr">
        <is>
          <t>other</t>
        </is>
      </c>
      <c r="U481" s="59" t="inlineStr"/>
    </row>
    <row r="482">
      <c r="A482" s="9" t="n">
        <v>481</v>
      </c>
      <c r="B482" s="58" t="n">
        <v>46197</v>
      </c>
      <c r="C482" s="9" t="str">
        <f>TEXT(B482,"yyyy-mm")</f>
        <v>2026-06</v>
      </c>
      <c r="D482" s="9" t="n">
        <v>1</v>
      </c>
      <c r="E482" s="9" t="inlineStr">
        <is>
          <t>18.2.0</t>
        </is>
      </c>
      <c r="F482" s="59" t="inlineStr">
        <is>
          <t>Worst</t>
        </is>
      </c>
      <c r="G482" s="59" t="inlineStr">
        <is>
          <t>Worst app</t>
        </is>
      </c>
      <c r="H482" s="9" t="inlineStr">
        <is>
          <t>other</t>
        </is>
      </c>
      <c r="I482" s="9" t="inlineStr">
        <is>
          <t>unclear</t>
        </is>
      </c>
      <c r="J482" s="9" t="inlineStr"/>
      <c r="K482" s="9" t="inlineStr">
        <is>
          <t>no</t>
        </is>
      </c>
      <c r="L482" s="9" t="inlineStr">
        <is>
          <t>no</t>
        </is>
      </c>
      <c r="M482" s="9" t="inlineStr">
        <is>
          <t>low</t>
        </is>
      </c>
      <c r="N482" s="9" t="inlineStr">
        <is>
          <t>no</t>
        </is>
      </c>
      <c r="O482" s="9" t="inlineStr">
        <is>
          <t>unknown</t>
        </is>
      </c>
      <c r="P482" s="9" t="inlineStr"/>
      <c r="Q482" s="9" t="n">
        <v>0</v>
      </c>
      <c r="R482" s="59" t="inlineStr">
        <is>
          <t>Worst | Worst app</t>
        </is>
      </c>
      <c r="S482" s="9" t="inlineStr">
        <is>
          <t>other</t>
        </is>
      </c>
      <c r="T482" s="9" t="inlineStr">
        <is>
          <t>other</t>
        </is>
      </c>
      <c r="U482" s="59" t="inlineStr"/>
    </row>
    <row r="483">
      <c r="A483" s="9" t="n">
        <v>482</v>
      </c>
      <c r="B483" s="58" t="n">
        <v>46196</v>
      </c>
      <c r="C483" s="9" t="str">
        <f>TEXT(B483,"yyyy-mm")</f>
        <v>2026-06</v>
      </c>
      <c r="D483" s="9" t="n">
        <v>5</v>
      </c>
      <c r="E483" s="9" t="inlineStr">
        <is>
          <t>18.2.0</t>
        </is>
      </c>
      <c r="F483" s="59" t="inlineStr">
        <is>
          <t>Salon</t>
        </is>
      </c>
      <c r="G483" s="59" t="inlineStr">
        <is>
          <t>Have taken hydra insta collagen facial from yes madam through ms [name] and the experience was really good and m feeling very relaxed</t>
        </is>
      </c>
      <c r="H483" s="9" t="inlineStr">
        <is>
          <t>praise</t>
        </is>
      </c>
      <c r="I483" s="9" t="inlineStr">
        <is>
          <t>praise_professional</t>
        </is>
      </c>
      <c r="J483" s="9" t="inlineStr"/>
      <c r="K483" s="9" t="inlineStr">
        <is>
          <t>no</t>
        </is>
      </c>
      <c r="L483" s="9" t="inlineStr">
        <is>
          <t>no</t>
        </is>
      </c>
      <c r="M483" s="9" t="inlineStr">
        <is>
          <t>none</t>
        </is>
      </c>
      <c r="N483" s="9" t="inlineStr">
        <is>
          <t>no</t>
        </is>
      </c>
      <c r="O483" s="9" t="inlineStr">
        <is>
          <t>facial_cleanup</t>
        </is>
      </c>
      <c r="P483" s="9" t="inlineStr"/>
      <c r="Q483" s="9" t="n">
        <v>0</v>
      </c>
      <c r="R483" s="59" t="inlineStr">
        <is>
          <t>Have taken hydra insta collagen facial from yes madam through ms [name] and the experience was really good</t>
        </is>
      </c>
      <c r="S483" s="9" t="inlineStr">
        <is>
          <t>praise</t>
        </is>
      </c>
      <c r="T483" s="9" t="inlineStr">
        <is>
          <t>praise</t>
        </is>
      </c>
      <c r="U483" s="59" t="inlineStr"/>
    </row>
    <row r="484">
      <c r="A484" s="9" t="n">
        <v>483</v>
      </c>
      <c r="B484" s="58" t="n">
        <v>46195</v>
      </c>
      <c r="C484" s="9" t="str">
        <f>TEXT(B484,"yyyy-mm")</f>
        <v>2026-06</v>
      </c>
      <c r="D484" s="9" t="n">
        <v>1</v>
      </c>
      <c r="E484" s="9" t="inlineStr">
        <is>
          <t>18.2.0</t>
        </is>
      </c>
      <c r="F484" s="59" t="inlineStr">
        <is>
          <t>Inadequate product quantity</t>
        </is>
      </c>
      <c r="G484" s="59" t="inlineStr">
        <is>
          <t>If I choose pedicure, you will be giving 1 set of product. If I choose manicure, you will be giving another kit. But if i book both Manicure and Peducure together, then do u give 1 product (same set but 1 set of product) or 2 set of product or u give 1 set with more quantity. Isn’t it. But the professional only carried 1 kit . Also she had no etiquette. N she ruined my floor splashing wax and also no training to do wax. He pulled my skin with wax on it without holding my skin tight. This was my first trial with u all and must stay- stay real not just on reel but in reality</t>
        </is>
      </c>
      <c r="H484" s="9" t="inlineStr">
        <is>
          <t>product_fit</t>
        </is>
      </c>
      <c r="I484" s="9" t="inlineStr">
        <is>
          <t>missing_or_wrong_products</t>
        </is>
      </c>
      <c r="J484" s="9" t="inlineStr">
        <is>
          <t>service_quality</t>
        </is>
      </c>
      <c r="K484" s="9" t="inlineStr">
        <is>
          <t>no</t>
        </is>
      </c>
      <c r="L484" s="9" t="inlineStr">
        <is>
          <t>no</t>
        </is>
      </c>
      <c r="M484" s="9" t="inlineStr">
        <is>
          <t>medium</t>
        </is>
      </c>
      <c r="N484" s="9" t="inlineStr">
        <is>
          <t>no</t>
        </is>
      </c>
      <c r="O484" s="9" t="inlineStr">
        <is>
          <t>multiple</t>
        </is>
      </c>
      <c r="P484" s="9" t="inlineStr"/>
      <c r="Q484" s="9" t="n">
        <v>0</v>
      </c>
      <c r="R484" s="59" t="inlineStr">
        <is>
          <t>But the professional only carried 1 kit . Also she had no etiquette. N she ruined my floor splashing wax</t>
        </is>
      </c>
      <c r="S484" s="9" t="inlineStr">
        <is>
          <t>product_fit</t>
        </is>
      </c>
      <c r="T484" s="9" t="inlineStr">
        <is>
          <t>product_fit</t>
        </is>
      </c>
      <c r="U484" s="59" t="inlineStr"/>
    </row>
    <row r="485">
      <c r="A485" s="9" t="n">
        <v>484</v>
      </c>
      <c r="B485" s="58" t="n">
        <v>46195</v>
      </c>
      <c r="C485" s="9" t="str">
        <f>TEXT(B485,"yyyy-mm")</f>
        <v>2026-06</v>
      </c>
      <c r="D485" s="9" t="n">
        <v>1</v>
      </c>
      <c r="E485" s="9" t="inlineStr">
        <is>
          <t>18.2.0</t>
        </is>
      </c>
      <c r="F485" s="59" t="inlineStr">
        <is>
          <t>As the app gets popular they are removing all the customer benefits available</t>
        </is>
      </c>
      <c r="G485" s="59" t="inlineStr">
        <is>
          <t>No cod available now. Also they have stopped the ‘service only’ feature.</t>
        </is>
      </c>
      <c r="H485" s="9" t="inlineStr">
        <is>
          <t>other</t>
        </is>
      </c>
      <c r="I485" s="9" t="inlineStr">
        <is>
          <t>other_issue</t>
        </is>
      </c>
      <c r="J485" s="9" t="inlineStr"/>
      <c r="K485" s="9" t="inlineStr">
        <is>
          <t>no</t>
        </is>
      </c>
      <c r="L485" s="9" t="inlineStr">
        <is>
          <t>no</t>
        </is>
      </c>
      <c r="M485" s="9" t="inlineStr">
        <is>
          <t>low</t>
        </is>
      </c>
      <c r="N485" s="9" t="inlineStr">
        <is>
          <t>no</t>
        </is>
      </c>
      <c r="O485" s="9" t="inlineStr">
        <is>
          <t>unknown</t>
        </is>
      </c>
      <c r="P485" s="9" t="inlineStr"/>
      <c r="Q485" s="9" t="n">
        <v>0</v>
      </c>
      <c r="R485" s="59" t="inlineStr">
        <is>
          <t>No cod available now. Also they have stopped the ‘service only’ feature.</t>
        </is>
      </c>
      <c r="S485" s="9" t="inlineStr">
        <is>
          <t>other</t>
        </is>
      </c>
      <c r="T485" s="9" t="inlineStr">
        <is>
          <t>other</t>
        </is>
      </c>
      <c r="U485" s="59" t="inlineStr"/>
    </row>
    <row r="486">
      <c r="A486" s="9" t="n">
        <v>485</v>
      </c>
      <c r="B486" s="58" t="n">
        <v>46194</v>
      </c>
      <c r="C486" s="9" t="str">
        <f>TEXT(B486,"yyyy-mm")</f>
        <v>2026-06</v>
      </c>
      <c r="D486" s="9" t="n">
        <v>1</v>
      </c>
      <c r="E486" s="9" t="inlineStr">
        <is>
          <t>18.2.0</t>
        </is>
      </c>
      <c r="F486" s="59" t="inlineStr">
        <is>
          <t>Don’t have experienced staff</t>
        </is>
      </c>
      <c r="G486" s="59" t="inlineStr">
        <is>
          <t>I tried body massage, hydra facial, manicure and pedicure
Body massage was the worst. Felt like i got 400 rupee body massage for the cost of 1500.
She was literally pinching in the name of massage. My body was aching post massage. 
With a gold member, after the pedicure my heals were cracked i asked her that you did remove the dead cells properly to which she says that it takes multiple sessions to remove. And I had opts of mani pedi combo in which only 1 kit is provided.
They just show less price initially and once you go to the checkout page 3 to 4 different other charges are added and the cost sums up to almost the same which other platform charge atleast they have professional and experienced staff than yes Mandam
And another worst thing the therapist ask to rate you immediately after the service and don’t leave until done</t>
        </is>
      </c>
      <c r="H486" s="9" t="inlineStr">
        <is>
          <t>service_quality</t>
        </is>
      </c>
      <c r="I486" s="9" t="inlineStr">
        <is>
          <t>poor_skill</t>
        </is>
      </c>
      <c r="J486" s="9" t="inlineStr">
        <is>
          <t>product_fit, price_clarity</t>
        </is>
      </c>
      <c r="K486" s="9" t="inlineStr">
        <is>
          <t>no</t>
        </is>
      </c>
      <c r="L486" s="9" t="inlineStr">
        <is>
          <t>no</t>
        </is>
      </c>
      <c r="M486" s="9" t="inlineStr">
        <is>
          <t>medium</t>
        </is>
      </c>
      <c r="N486" s="9" t="inlineStr">
        <is>
          <t>yes</t>
        </is>
      </c>
      <c r="O486" s="9" t="inlineStr">
        <is>
          <t>multiple</t>
        </is>
      </c>
      <c r="P486" s="9" t="inlineStr"/>
      <c r="Q486" s="9" t="n">
        <v>1500</v>
      </c>
      <c r="R486" s="59" t="inlineStr">
        <is>
          <t>Felt like i got 400 rupee body massage for the cost of 1500. She was literally pinching in the name of massage.</t>
        </is>
      </c>
      <c r="S486" s="9" t="inlineStr">
        <is>
          <t>service_quality</t>
        </is>
      </c>
      <c r="T486" s="9" t="inlineStr">
        <is>
          <t>service_quality</t>
        </is>
      </c>
      <c r="U486" s="59" t="inlineStr"/>
    </row>
    <row r="487">
      <c r="A487" s="9" t="n">
        <v>486</v>
      </c>
      <c r="B487" s="58" t="n">
        <v>46194</v>
      </c>
      <c r="C487" s="9" t="str">
        <f>TEXT(B487,"yyyy-mm")</f>
        <v>2026-06</v>
      </c>
      <c r="D487" s="9" t="n">
        <v>5</v>
      </c>
      <c r="E487" s="9" t="inlineStr">
        <is>
          <t>18.2.0</t>
        </is>
      </c>
      <c r="F487" s="59" t="inlineStr">
        <is>
          <t>Excellent</t>
        </is>
      </c>
      <c r="G487" s="59" t="inlineStr">
        <is>
          <t>Wonderful service</t>
        </is>
      </c>
      <c r="H487" s="9" t="inlineStr">
        <is>
          <t>praise</t>
        </is>
      </c>
      <c r="I487" s="9" t="inlineStr">
        <is>
          <t>praise_service</t>
        </is>
      </c>
      <c r="J487" s="9" t="inlineStr"/>
      <c r="K487" s="9" t="inlineStr">
        <is>
          <t>no</t>
        </is>
      </c>
      <c r="L487" s="9" t="inlineStr">
        <is>
          <t>no</t>
        </is>
      </c>
      <c r="M487" s="9" t="inlineStr">
        <is>
          <t>none</t>
        </is>
      </c>
      <c r="N487" s="9" t="inlineStr">
        <is>
          <t>no</t>
        </is>
      </c>
      <c r="O487" s="9" t="inlineStr">
        <is>
          <t>unknown</t>
        </is>
      </c>
      <c r="P487" s="9" t="inlineStr"/>
      <c r="Q487" s="9" t="n">
        <v>0</v>
      </c>
      <c r="R487" s="59" t="inlineStr">
        <is>
          <t>Excellent | Wonderful service</t>
        </is>
      </c>
      <c r="S487" s="9" t="inlineStr">
        <is>
          <t>praise</t>
        </is>
      </c>
      <c r="T487" s="9" t="inlineStr">
        <is>
          <t>praise</t>
        </is>
      </c>
      <c r="U487" s="59" t="inlineStr"/>
    </row>
    <row r="488">
      <c r="A488" s="9" t="n">
        <v>487</v>
      </c>
      <c r="B488" s="58" t="n">
        <v>46194</v>
      </c>
      <c r="C488" s="9" t="str">
        <f>TEXT(B488,"yyyy-mm")</f>
        <v>2026-06</v>
      </c>
      <c r="D488" s="9" t="n">
        <v>5</v>
      </c>
      <c r="E488" s="9" t="inlineStr">
        <is>
          <t>18.2.0</t>
        </is>
      </c>
      <c r="F488" s="59" t="inlineStr">
        <is>
          <t>Excellent First Experience ⭐⭐⭐⭐⭐</t>
        </is>
      </c>
      <c r="G488" s="59" t="inlineStr">
        <is>
          <t>This was my first visit and I had a wonderful experience. The staff was friendly and professional, and the facial service was very relaxing. I am completely satisfied with the service and would definitely visit again.</t>
        </is>
      </c>
      <c r="H488" s="9" t="inlineStr">
        <is>
          <t>praise</t>
        </is>
      </c>
      <c r="I488" s="9" t="inlineStr">
        <is>
          <t>praise_service</t>
        </is>
      </c>
      <c r="J488" s="9" t="inlineStr"/>
      <c r="K488" s="9" t="inlineStr">
        <is>
          <t>no</t>
        </is>
      </c>
      <c r="L488" s="9" t="inlineStr">
        <is>
          <t>no</t>
        </is>
      </c>
      <c r="M488" s="9" t="inlineStr">
        <is>
          <t>none</t>
        </is>
      </c>
      <c r="N488" s="9" t="inlineStr">
        <is>
          <t>no</t>
        </is>
      </c>
      <c r="O488" s="9" t="inlineStr">
        <is>
          <t>facial_cleanup</t>
        </is>
      </c>
      <c r="P488" s="9" t="inlineStr"/>
      <c r="Q488" s="9" t="n">
        <v>0</v>
      </c>
      <c r="R488" s="59" t="inlineStr">
        <is>
          <t>The staff was friendly and professional, and the facial service was very relaxing.</t>
        </is>
      </c>
      <c r="S488" s="9" t="inlineStr">
        <is>
          <t>praise</t>
        </is>
      </c>
      <c r="T488" s="9" t="inlineStr">
        <is>
          <t>praise</t>
        </is>
      </c>
      <c r="U488" s="59" t="inlineStr"/>
    </row>
    <row r="489">
      <c r="A489" s="9" t="n">
        <v>488</v>
      </c>
      <c r="B489" s="58" t="n">
        <v>46194</v>
      </c>
      <c r="C489" s="9" t="str">
        <f>TEXT(B489,"yyyy-mm")</f>
        <v>2026-06</v>
      </c>
      <c r="D489" s="9" t="n">
        <v>1</v>
      </c>
      <c r="E489" s="9" t="inlineStr">
        <is>
          <t>18.2.0</t>
        </is>
      </c>
      <c r="F489" s="59" t="inlineStr">
        <is>
          <t>Very Disappointing Service</t>
        </is>
      </c>
      <c r="G489" s="59" t="inlineStr">
        <is>
          <t>I booked 1st time their premium service which is deep tissue massage and after the therapy I don’t feel relaxed at all and moreover my spondylitis pain increase after the session. Neither I will book again nor going advice?others to book their services. The amount which they are charging for premium services is not worth it at all and it’s far better to purchase massage oils and machine and do it by yourself at home rather than booking their services.</t>
        </is>
      </c>
      <c r="H489" s="9" t="inlineStr">
        <is>
          <t>service_quality</t>
        </is>
      </c>
      <c r="I489" s="9" t="inlineStr">
        <is>
          <t>poor_skill</t>
        </is>
      </c>
      <c r="J489" s="9" t="inlineStr"/>
      <c r="K489" s="9" t="inlineStr">
        <is>
          <t>no</t>
        </is>
      </c>
      <c r="L489" s="9" t="inlineStr">
        <is>
          <t>no</t>
        </is>
      </c>
      <c r="M489" s="9" t="inlineStr">
        <is>
          <t>high</t>
        </is>
      </c>
      <c r="N489" s="9" t="inlineStr">
        <is>
          <t>yes</t>
        </is>
      </c>
      <c r="O489" s="9" t="inlineStr">
        <is>
          <t>massage_spa</t>
        </is>
      </c>
      <c r="P489" s="9" t="inlineStr"/>
      <c r="Q489" s="9" t="n">
        <v>0</v>
      </c>
      <c r="R489" s="59" t="inlineStr">
        <is>
          <t>after the therapy I don’t feel relaxed at all and moreover my spondylitis pain increase after the session.</t>
        </is>
      </c>
      <c r="S489" s="9" t="inlineStr">
        <is>
          <t>service_quality</t>
        </is>
      </c>
      <c r="T489" s="9" t="inlineStr">
        <is>
          <t>service_quality</t>
        </is>
      </c>
      <c r="U489" s="59" t="inlineStr"/>
    </row>
    <row r="490">
      <c r="A490" s="9" t="n">
        <v>489</v>
      </c>
      <c r="B490" s="58" t="n">
        <v>46194</v>
      </c>
      <c r="C490" s="9" t="str">
        <f>TEXT(B490,"yyyy-mm")</f>
        <v>2026-06</v>
      </c>
      <c r="D490" s="9" t="n">
        <v>5</v>
      </c>
      <c r="E490" s="9" t="inlineStr">
        <is>
          <t>18.2.0</t>
        </is>
      </c>
      <c r="F490" s="59" t="inlineStr">
        <is>
          <t>Full massage body spa</t>
        </is>
      </c>
      <c r="G490" s="59" t="inlineStr">
        <is>
          <t>It was really great experience opting for yes madam services. [name] did a fantastic job and it was very comfortable and relaxing throughout the session. Definitely recommend it once again for the body spa</t>
        </is>
      </c>
      <c r="H490" s="9" t="inlineStr">
        <is>
          <t>praise</t>
        </is>
      </c>
      <c r="I490" s="9" t="inlineStr">
        <is>
          <t>praise_professional</t>
        </is>
      </c>
      <c r="J490" s="9" t="inlineStr"/>
      <c r="K490" s="9" t="inlineStr">
        <is>
          <t>no</t>
        </is>
      </c>
      <c r="L490" s="9" t="inlineStr">
        <is>
          <t>no</t>
        </is>
      </c>
      <c r="M490" s="9" t="inlineStr">
        <is>
          <t>none</t>
        </is>
      </c>
      <c r="N490" s="9" t="inlineStr">
        <is>
          <t>no</t>
        </is>
      </c>
      <c r="O490" s="9" t="inlineStr">
        <is>
          <t>massage_spa</t>
        </is>
      </c>
      <c r="P490" s="9" t="inlineStr"/>
      <c r="Q490" s="9" t="n">
        <v>0</v>
      </c>
      <c r="R490" s="59" t="inlineStr">
        <is>
          <t>[name] did a fantastic job and it was very comfortable and relaxing throughout the session.</t>
        </is>
      </c>
      <c r="S490" s="9" t="inlineStr">
        <is>
          <t>praise</t>
        </is>
      </c>
      <c r="T490" s="9" t="inlineStr">
        <is>
          <t>praise</t>
        </is>
      </c>
      <c r="U490" s="59" t="inlineStr"/>
    </row>
    <row r="491">
      <c r="A491" s="9" t="n">
        <v>490</v>
      </c>
      <c r="B491" s="58" t="n">
        <v>46194</v>
      </c>
      <c r="C491" s="9" t="str">
        <f>TEXT(B491,"yyyy-mm")</f>
        <v>2026-06</v>
      </c>
      <c r="D491" s="9" t="n">
        <v>1</v>
      </c>
      <c r="E491" s="9" t="inlineStr">
        <is>
          <t>18.2.0</t>
        </is>
      </c>
      <c r="F491" s="59" t="inlineStr">
        <is>
          <t>Don’t use</t>
        </is>
      </c>
      <c r="G491" s="59" t="inlineStr">
        <is>
          <t>Booking ID: [id]
Booked this service 3 days in advance and planned my entire weekend around it. No professional was assigned, no one showed up, and I never received the promised callback. Since morning, I have only been told that the team is “looking into it.”
The worst part is that if a customer cancels, cancellation charges may apply. But when the company fails to provide the service, there is no accountability, compensation, or proper communication.
My entire weekend was wasted because I trusted this company. If you value your time—especially your weekends—think twice before booking from here. Extremely disappointing and unprofessional experience.</t>
        </is>
      </c>
      <c r="H491" s="9" t="inlineStr">
        <is>
          <t>partner_cancellation</t>
        </is>
      </c>
      <c r="I491" s="9" t="inlineStr">
        <is>
          <t>no_partner_available</t>
        </is>
      </c>
      <c r="J491" s="9" t="inlineStr">
        <is>
          <t>support</t>
        </is>
      </c>
      <c r="K491" s="9" t="inlineStr">
        <is>
          <t>yes</t>
        </is>
      </c>
      <c r="L491" s="9" t="inlineStr">
        <is>
          <t>yes</t>
        </is>
      </c>
      <c r="M491" s="9" t="inlineStr">
        <is>
          <t>medium</t>
        </is>
      </c>
      <c r="N491" s="9" t="inlineStr">
        <is>
          <t>no</t>
        </is>
      </c>
      <c r="O491" s="9" t="inlineStr">
        <is>
          <t>unknown</t>
        </is>
      </c>
      <c r="P491" s="9" t="inlineStr"/>
      <c r="Q491" s="9" t="n">
        <v>0</v>
      </c>
      <c r="R491" s="59" t="inlineStr">
        <is>
          <t>No professional was assigned, no one showed up, and I never received the promised callback.</t>
        </is>
      </c>
      <c r="S491" s="9" t="inlineStr">
        <is>
          <t>partner_cancellation</t>
        </is>
      </c>
      <c r="T491" s="9" t="inlineStr">
        <is>
          <t>partner_cancellation</t>
        </is>
      </c>
      <c r="U491" s="59" t="inlineStr"/>
    </row>
    <row r="492">
      <c r="A492" s="9" t="n">
        <v>491</v>
      </c>
      <c r="B492" s="58" t="n">
        <v>46193</v>
      </c>
      <c r="C492" s="9" t="str">
        <f>TEXT(B492,"yyyy-mm")</f>
        <v>2026-06</v>
      </c>
      <c r="D492" s="9" t="n">
        <v>5</v>
      </c>
      <c r="E492" s="9" t="inlineStr">
        <is>
          <t>18.2.0</t>
        </is>
      </c>
      <c r="F492" s="59" t="inlineStr">
        <is>
          <t>Great experience</t>
        </is>
      </c>
      <c r="G492" s="59" t="inlineStr">
        <is>
          <t>I was really impressed by service. Will surely order again. Thoroughly relaxing service</t>
        </is>
      </c>
      <c r="H492" s="9" t="inlineStr">
        <is>
          <t>praise</t>
        </is>
      </c>
      <c r="I492" s="9" t="inlineStr">
        <is>
          <t>praise_service</t>
        </is>
      </c>
      <c r="J492" s="9" t="inlineStr"/>
      <c r="K492" s="9" t="inlineStr">
        <is>
          <t>no</t>
        </is>
      </c>
      <c r="L492" s="9" t="inlineStr">
        <is>
          <t>no</t>
        </is>
      </c>
      <c r="M492" s="9" t="inlineStr">
        <is>
          <t>none</t>
        </is>
      </c>
      <c r="N492" s="9" t="inlineStr">
        <is>
          <t>no</t>
        </is>
      </c>
      <c r="O492" s="9" t="inlineStr">
        <is>
          <t>unknown</t>
        </is>
      </c>
      <c r="P492" s="9" t="inlineStr"/>
      <c r="Q492" s="9" t="n">
        <v>0</v>
      </c>
      <c r="R492" s="59" t="inlineStr">
        <is>
          <t>I was really impressed by service. Will surely order again. Thoroughly relaxing service</t>
        </is>
      </c>
      <c r="S492" s="9" t="inlineStr">
        <is>
          <t>praise</t>
        </is>
      </c>
      <c r="T492" s="9" t="inlineStr">
        <is>
          <t>praise</t>
        </is>
      </c>
      <c r="U492" s="59" t="inlineStr"/>
    </row>
    <row r="493">
      <c r="A493" s="9" t="n">
        <v>492</v>
      </c>
      <c r="B493" s="58" t="n">
        <v>46193</v>
      </c>
      <c r="C493" s="9" t="str">
        <f>TEXT(B493,"yyyy-mm")</f>
        <v>2026-06</v>
      </c>
      <c r="D493" s="9" t="n">
        <v>4</v>
      </c>
      <c r="E493" s="9" t="inlineStr">
        <is>
          <t>18.2.0</t>
        </is>
      </c>
      <c r="F493" s="59" t="inlineStr">
        <is>
          <t>They not had proper product</t>
        </is>
      </c>
      <c r="G493" s="59" t="inlineStr">
        <is>
          <t>I had booked korean wax but They didn't have proper kit and  didn't have the lotion which was mentioned in yes madam app, very disappointed for me because I was trying Korean wax for the first time.</t>
        </is>
      </c>
      <c r="H493" s="9" t="inlineStr">
        <is>
          <t>product_fit</t>
        </is>
      </c>
      <c r="I493" s="9" t="inlineStr">
        <is>
          <t>missing_or_wrong_products</t>
        </is>
      </c>
      <c r="J493" s="9" t="inlineStr"/>
      <c r="K493" s="9" t="inlineStr">
        <is>
          <t>no</t>
        </is>
      </c>
      <c r="L493" s="9" t="inlineStr">
        <is>
          <t>no</t>
        </is>
      </c>
      <c r="M493" s="9" t="inlineStr">
        <is>
          <t>medium</t>
        </is>
      </c>
      <c r="N493" s="9" t="inlineStr">
        <is>
          <t>no</t>
        </is>
      </c>
      <c r="O493" s="9" t="inlineStr">
        <is>
          <t>waxing</t>
        </is>
      </c>
      <c r="P493" s="9" t="inlineStr"/>
      <c r="Q493" s="9" t="n">
        <v>0</v>
      </c>
      <c r="R493" s="59" t="inlineStr">
        <is>
          <t>I had booked korean wax but They didn't have proper kit and didn't have the lotion which was mentioned in yes madam app</t>
        </is>
      </c>
      <c r="S493" s="9" t="inlineStr">
        <is>
          <t>product_fit</t>
        </is>
      </c>
      <c r="T493" s="9" t="inlineStr">
        <is>
          <t>product_fit</t>
        </is>
      </c>
      <c r="U493" s="59" t="inlineStr"/>
    </row>
    <row r="494">
      <c r="A494" s="9" t="n">
        <v>493</v>
      </c>
      <c r="B494" s="58" t="n">
        <v>46193</v>
      </c>
      <c r="C494" s="9" t="str">
        <f>TEXT(B494,"yyyy-mm")</f>
        <v>2026-06</v>
      </c>
      <c r="D494" s="9" t="n">
        <v>5</v>
      </c>
      <c r="E494" s="9" t="inlineStr">
        <is>
          <t>18.2.0</t>
        </is>
      </c>
      <c r="F494" s="59" t="inlineStr">
        <is>
          <t>Luxe service</t>
        </is>
      </c>
      <c r="G494" s="59" t="inlineStr">
        <is>
          <t>[name] is very professional and very friendly I had 7 hours long sea she did it very calmly! Highly recommended in Hyderabad if ur going for Yesmadam services.</t>
        </is>
      </c>
      <c r="H494" s="9" t="inlineStr">
        <is>
          <t>praise</t>
        </is>
      </c>
      <c r="I494" s="9" t="inlineStr">
        <is>
          <t>praise_professional</t>
        </is>
      </c>
      <c r="J494" s="9" t="inlineStr"/>
      <c r="K494" s="9" t="inlineStr">
        <is>
          <t>no</t>
        </is>
      </c>
      <c r="L494" s="9" t="inlineStr">
        <is>
          <t>no</t>
        </is>
      </c>
      <c r="M494" s="9" t="inlineStr">
        <is>
          <t>none</t>
        </is>
      </c>
      <c r="N494" s="9" t="inlineStr">
        <is>
          <t>no</t>
        </is>
      </c>
      <c r="O494" s="9" t="inlineStr">
        <is>
          <t>unknown</t>
        </is>
      </c>
      <c r="P494" s="9" t="inlineStr">
        <is>
          <t>Hyderabad</t>
        </is>
      </c>
      <c r="Q494" s="9" t="n">
        <v>0</v>
      </c>
      <c r="R494" s="59" t="inlineStr">
        <is>
          <t>[name] is very professional and very friendly I had 7 hours long sea she did it very calmly!</t>
        </is>
      </c>
      <c r="S494" s="9" t="inlineStr">
        <is>
          <t>praise</t>
        </is>
      </c>
      <c r="T494" s="9" t="inlineStr">
        <is>
          <t>praise</t>
        </is>
      </c>
      <c r="U494" s="59" t="inlineStr"/>
    </row>
    <row r="495">
      <c r="A495" s="9" t="n">
        <v>494</v>
      </c>
      <c r="B495" s="58" t="n">
        <v>46193</v>
      </c>
      <c r="C495" s="9" t="str">
        <f>TEXT(B495,"yyyy-mm")</f>
        <v>2026-06</v>
      </c>
      <c r="D495" s="9" t="n">
        <v>5</v>
      </c>
      <c r="E495" s="9" t="inlineStr">
        <is>
          <t>18.2.0</t>
        </is>
      </c>
      <c r="F495" s="59" t="inlineStr">
        <is>
          <t>Very good</t>
        </is>
      </c>
      <c r="G495" s="59" t="inlineStr">
        <is>
          <t>Amazing</t>
        </is>
      </c>
      <c r="H495" s="9" t="inlineStr">
        <is>
          <t>praise</t>
        </is>
      </c>
      <c r="I495" s="9" t="inlineStr">
        <is>
          <t>praise_service</t>
        </is>
      </c>
      <c r="J495" s="9" t="inlineStr"/>
      <c r="K495" s="9" t="inlineStr">
        <is>
          <t>no</t>
        </is>
      </c>
      <c r="L495" s="9" t="inlineStr">
        <is>
          <t>no</t>
        </is>
      </c>
      <c r="M495" s="9" t="inlineStr">
        <is>
          <t>none</t>
        </is>
      </c>
      <c r="N495" s="9" t="inlineStr">
        <is>
          <t>no</t>
        </is>
      </c>
      <c r="O495" s="9" t="inlineStr">
        <is>
          <t>unknown</t>
        </is>
      </c>
      <c r="P495" s="9" t="inlineStr"/>
      <c r="Q495" s="9" t="n">
        <v>0</v>
      </c>
      <c r="R495" s="59" t="inlineStr">
        <is>
          <t>Very good | Amazing</t>
        </is>
      </c>
      <c r="S495" s="9" t="inlineStr">
        <is>
          <t>praise</t>
        </is>
      </c>
      <c r="T495" s="9" t="inlineStr">
        <is>
          <t>praise</t>
        </is>
      </c>
      <c r="U495" s="59" t="inlineStr"/>
    </row>
    <row r="496">
      <c r="A496" s="9" t="n">
        <v>495</v>
      </c>
      <c r="B496" s="58" t="n">
        <v>46192</v>
      </c>
      <c r="C496" s="9" t="str">
        <f>TEXT(B496,"yyyy-mm")</f>
        <v>2026-06</v>
      </c>
      <c r="D496" s="9" t="n">
        <v>4</v>
      </c>
      <c r="E496" s="9" t="inlineStr">
        <is>
          <t>18.2.0</t>
        </is>
      </c>
      <c r="F496" s="59" t="inlineStr">
        <is>
          <t>Convenient but little overly priced</t>
        </is>
      </c>
      <c r="G496" s="59" t="inlineStr">
        <is>
          <t>Good but overly priced for few services</t>
        </is>
      </c>
      <c r="H496" s="9" t="inlineStr">
        <is>
          <t>other</t>
        </is>
      </c>
      <c r="I496" s="9" t="inlineStr">
        <is>
          <t>other_issue</t>
        </is>
      </c>
      <c r="J496" s="9" t="inlineStr"/>
      <c r="K496" s="9" t="inlineStr">
        <is>
          <t>no</t>
        </is>
      </c>
      <c r="L496" s="9" t="inlineStr">
        <is>
          <t>no</t>
        </is>
      </c>
      <c r="M496" s="9" t="inlineStr">
        <is>
          <t>low</t>
        </is>
      </c>
      <c r="N496" s="9" t="inlineStr">
        <is>
          <t>no</t>
        </is>
      </c>
      <c r="O496" s="9" t="inlineStr">
        <is>
          <t>unknown</t>
        </is>
      </c>
      <c r="P496" s="9" t="inlineStr"/>
      <c r="Q496" s="9" t="n">
        <v>0</v>
      </c>
      <c r="R496" s="59" t="inlineStr">
        <is>
          <t>Convenient but little overly priced | Good but overly priced for few services</t>
        </is>
      </c>
      <c r="S496" s="9" t="inlineStr">
        <is>
          <t>other</t>
        </is>
      </c>
      <c r="T496" s="9" t="inlineStr">
        <is>
          <t>other</t>
        </is>
      </c>
      <c r="U496" s="59" t="inlineStr"/>
    </row>
    <row r="497">
      <c r="A497" s="9" t="n">
        <v>496</v>
      </c>
      <c r="B497" s="58" t="n">
        <v>46192</v>
      </c>
      <c r="C497" s="9" t="str">
        <f>TEXT(B497,"yyyy-mm")</f>
        <v>2026-06</v>
      </c>
      <c r="D497" s="9" t="n">
        <v>5</v>
      </c>
      <c r="E497" s="9" t="inlineStr">
        <is>
          <t>18.2.0</t>
        </is>
      </c>
      <c r="F497" s="59" t="inlineStr">
        <is>
          <t>Good service</t>
        </is>
      </c>
      <c r="G497" s="59" t="inlineStr">
        <is>
          <t>Good work</t>
        </is>
      </c>
      <c r="H497" s="9" t="inlineStr">
        <is>
          <t>praise</t>
        </is>
      </c>
      <c r="I497" s="9" t="inlineStr">
        <is>
          <t>praise_service</t>
        </is>
      </c>
      <c r="J497" s="9" t="inlineStr"/>
      <c r="K497" s="9" t="inlineStr">
        <is>
          <t>no</t>
        </is>
      </c>
      <c r="L497" s="9" t="inlineStr">
        <is>
          <t>no</t>
        </is>
      </c>
      <c r="M497" s="9" t="inlineStr">
        <is>
          <t>none</t>
        </is>
      </c>
      <c r="N497" s="9" t="inlineStr">
        <is>
          <t>no</t>
        </is>
      </c>
      <c r="O497" s="9" t="inlineStr">
        <is>
          <t>unknown</t>
        </is>
      </c>
      <c r="P497" s="9" t="inlineStr"/>
      <c r="Q497" s="9" t="n">
        <v>0</v>
      </c>
      <c r="R497" s="59" t="inlineStr">
        <is>
          <t>Good service | Good work</t>
        </is>
      </c>
      <c r="S497" s="9" t="inlineStr">
        <is>
          <t>praise</t>
        </is>
      </c>
      <c r="T497" s="9" t="inlineStr">
        <is>
          <t>praise</t>
        </is>
      </c>
      <c r="U497" s="59" t="inlineStr"/>
    </row>
    <row r="498">
      <c r="A498" s="9" t="n">
        <v>497</v>
      </c>
      <c r="B498" s="58" t="n">
        <v>46192</v>
      </c>
      <c r="C498" s="9" t="str">
        <f>TEXT(B498,"yyyy-mm")</f>
        <v>2026-06</v>
      </c>
      <c r="D498" s="9" t="n">
        <v>5</v>
      </c>
      <c r="E498" s="9" t="inlineStr">
        <is>
          <t>18.2.0</t>
        </is>
      </c>
      <c r="F498" s="59" t="inlineStr">
        <is>
          <t>[name] mam</t>
        </is>
      </c>
      <c r="G498" s="59" t="inlineStr">
        <is>
          <t>Excellent it’s so good</t>
        </is>
      </c>
      <c r="H498" s="9" t="inlineStr">
        <is>
          <t>praise</t>
        </is>
      </c>
      <c r="I498" s="9" t="inlineStr">
        <is>
          <t>praise_professional</t>
        </is>
      </c>
      <c r="J498" s="9" t="inlineStr"/>
      <c r="K498" s="9" t="inlineStr">
        <is>
          <t>no</t>
        </is>
      </c>
      <c r="L498" s="9" t="inlineStr">
        <is>
          <t>no</t>
        </is>
      </c>
      <c r="M498" s="9" t="inlineStr">
        <is>
          <t>none</t>
        </is>
      </c>
      <c r="N498" s="9" t="inlineStr">
        <is>
          <t>no</t>
        </is>
      </c>
      <c r="O498" s="9" t="inlineStr">
        <is>
          <t>unknown</t>
        </is>
      </c>
      <c r="P498" s="9" t="inlineStr"/>
      <c r="Q498" s="9" t="n">
        <v>0</v>
      </c>
      <c r="R498" s="59" t="inlineStr">
        <is>
          <t>Excellent it’s so good</t>
        </is>
      </c>
      <c r="S498" s="9" t="inlineStr">
        <is>
          <t>praise</t>
        </is>
      </c>
      <c r="T498" s="9" t="inlineStr">
        <is>
          <t>praise</t>
        </is>
      </c>
      <c r="U498" s="59" t="inlineStr"/>
    </row>
    <row r="499">
      <c r="A499" s="9" t="n">
        <v>498</v>
      </c>
      <c r="B499" s="58" t="n">
        <v>46192</v>
      </c>
      <c r="C499" s="9" t="str">
        <f>TEXT(B499,"yyyy-mm")</f>
        <v>2026-06</v>
      </c>
      <c r="D499" s="9" t="n">
        <v>5</v>
      </c>
      <c r="E499" s="9" t="inlineStr">
        <is>
          <t>18.2.0</t>
        </is>
      </c>
      <c r="F499" s="59" t="inlineStr">
        <is>
          <t>Very good experience</t>
        </is>
      </c>
      <c r="G499" s="59" t="inlineStr">
        <is>
          <t>Quick booking and very good professional</t>
        </is>
      </c>
      <c r="H499" s="9" t="inlineStr">
        <is>
          <t>praise</t>
        </is>
      </c>
      <c r="I499" s="9" t="inlineStr">
        <is>
          <t>praise_professional</t>
        </is>
      </c>
      <c r="J499" s="9" t="inlineStr"/>
      <c r="K499" s="9" t="inlineStr">
        <is>
          <t>no</t>
        </is>
      </c>
      <c r="L499" s="9" t="inlineStr">
        <is>
          <t>no</t>
        </is>
      </c>
      <c r="M499" s="9" t="inlineStr">
        <is>
          <t>none</t>
        </is>
      </c>
      <c r="N499" s="9" t="inlineStr">
        <is>
          <t>no</t>
        </is>
      </c>
      <c r="O499" s="9" t="inlineStr">
        <is>
          <t>unknown</t>
        </is>
      </c>
      <c r="P499" s="9" t="inlineStr"/>
      <c r="Q499" s="9" t="n">
        <v>0</v>
      </c>
      <c r="R499" s="59" t="inlineStr">
        <is>
          <t>Quick booking and very good professional</t>
        </is>
      </c>
      <c r="S499" s="9" t="inlineStr">
        <is>
          <t>praise</t>
        </is>
      </c>
      <c r="T499" s="9" t="inlineStr">
        <is>
          <t>praise</t>
        </is>
      </c>
      <c r="U499" s="59" t="inlineStr"/>
    </row>
    <row r="500">
      <c r="A500" s="9" t="n">
        <v>499</v>
      </c>
      <c r="B500" s="58" t="n">
        <v>46191</v>
      </c>
      <c r="C500" s="9" t="str">
        <f>TEXT(B500,"yyyy-mm")</f>
        <v>2026-06</v>
      </c>
      <c r="D500" s="9" t="n">
        <v>5</v>
      </c>
      <c r="E500" s="9" t="inlineStr">
        <is>
          <t>18.2.0</t>
        </is>
      </c>
      <c r="F500" s="59" t="inlineStr">
        <is>
          <t>Best service</t>
        </is>
      </c>
      <c r="G500" s="59" t="inlineStr">
        <is>
          <t>Thanks [name] for the professional service, never thought parlour at home would be this smooth. Would recommend for all.</t>
        </is>
      </c>
      <c r="H500" s="9" t="inlineStr">
        <is>
          <t>praise</t>
        </is>
      </c>
      <c r="I500" s="9" t="inlineStr">
        <is>
          <t>praise_professional</t>
        </is>
      </c>
      <c r="J500" s="9" t="inlineStr"/>
      <c r="K500" s="9" t="inlineStr">
        <is>
          <t>no</t>
        </is>
      </c>
      <c r="L500" s="9" t="inlineStr">
        <is>
          <t>no</t>
        </is>
      </c>
      <c r="M500" s="9" t="inlineStr">
        <is>
          <t>none</t>
        </is>
      </c>
      <c r="N500" s="9" t="inlineStr">
        <is>
          <t>no</t>
        </is>
      </c>
      <c r="O500" s="9" t="inlineStr">
        <is>
          <t>unknown</t>
        </is>
      </c>
      <c r="P500" s="9" t="inlineStr"/>
      <c r="Q500" s="9" t="n">
        <v>0</v>
      </c>
      <c r="R500" s="59" t="inlineStr">
        <is>
          <t>Thanks [name] for the professional service, never thought parlour at home would be this smooth.</t>
        </is>
      </c>
      <c r="S500" s="9" t="inlineStr">
        <is>
          <t>praise</t>
        </is>
      </c>
      <c r="T500" s="9" t="inlineStr">
        <is>
          <t>praise</t>
        </is>
      </c>
      <c r="U500" s="59" t="inlineStr"/>
    </row>
    <row r="501">
      <c r="A501" s="9" t="n">
        <v>500</v>
      </c>
      <c r="B501" s="58" t="n">
        <v>46191</v>
      </c>
      <c r="C501" s="9" t="str">
        <f>TEXT(B501,"yyyy-mm")</f>
        <v>2026-06</v>
      </c>
      <c r="D501" s="9" t="n">
        <v>5</v>
      </c>
      <c r="E501" s="9" t="inlineStr">
        <is>
          <t>18.2.0</t>
        </is>
      </c>
      <c r="F501" s="59" t="inlineStr">
        <is>
          <t>Pedicure nd facial</t>
        </is>
      </c>
      <c r="G501" s="59" t="inlineStr">
        <is>
          <t>Good service.. [name] are just awesome, very professional. was so cooperative &amp; helpful. I’ll surely recommend to my friends too.</t>
        </is>
      </c>
      <c r="H501" s="9" t="inlineStr">
        <is>
          <t>praise</t>
        </is>
      </c>
      <c r="I501" s="9" t="inlineStr">
        <is>
          <t>praise_professional</t>
        </is>
      </c>
      <c r="J501" s="9" t="inlineStr"/>
      <c r="K501" s="9" t="inlineStr">
        <is>
          <t>no</t>
        </is>
      </c>
      <c r="L501" s="9" t="inlineStr">
        <is>
          <t>no</t>
        </is>
      </c>
      <c r="M501" s="9" t="inlineStr">
        <is>
          <t>none</t>
        </is>
      </c>
      <c r="N501" s="9" t="inlineStr">
        <is>
          <t>no</t>
        </is>
      </c>
      <c r="O501" s="9" t="inlineStr">
        <is>
          <t>multiple</t>
        </is>
      </c>
      <c r="P501" s="9" t="inlineStr"/>
      <c r="Q501" s="9" t="n">
        <v>0</v>
      </c>
      <c r="R501" s="59" t="inlineStr">
        <is>
          <t>[name] are just awesome, very professional. was so cooperative &amp; helpful.</t>
        </is>
      </c>
      <c r="S501" s="9" t="inlineStr">
        <is>
          <t>praise</t>
        </is>
      </c>
      <c r="T501" s="9" t="inlineStr">
        <is>
          <t>praise</t>
        </is>
      </c>
      <c r="U501" s="59" t="inlineStr"/>
    </row>
  </sheetData>
  <autoFilter ref="A1:U501"/>
  <pageMargins left="0.75" right="0.75" top="1" bottom="1" header="0.5" footer="0.5"/>
  <pageSetup orientation="landscape" fitToHeight="0" fitToWidth="1"/>
</worksheet>
</file>

<file path=xl/worksheets/sheet14.xml><?xml version="1.0" encoding="utf-8"?>
<worksheet xmlns="http://schemas.openxmlformats.org/spreadsheetml/2006/main">
  <sheetPr>
    <tabColor rgb="009CA3AF"/>
    <outlinePr summaryBelow="1" summaryRight="1"/>
    <pageSetUpPr fitToPage="1"/>
  </sheetPr>
  <dimension ref="A1:H503"/>
  <sheetViews>
    <sheetView showGridLines="1" workbookViewId="0">
      <pane ySplit="1" topLeftCell="A2" activePane="bottomLeft" state="frozen"/>
      <selection pane="bottomLeft" activeCell="A1" sqref="A1"/>
    </sheetView>
  </sheetViews>
  <sheetFormatPr baseColWidth="8" defaultRowHeight="15"/>
  <cols>
    <col width="6" customWidth="1" min="1" max="1"/>
    <col width="12" customWidth="1" min="2" max="2"/>
    <col width="6" customWidth="1" min="3" max="3"/>
    <col width="22" customWidth="1" min="4" max="4"/>
    <col width="24" customWidth="1" min="5" max="5"/>
    <col width="10" customWidth="1" min="6" max="6"/>
    <col width="10" customWidth="1" min="7" max="7"/>
    <col width="10" customWidth="1" min="8" max="8"/>
  </cols>
  <sheetData>
    <row r="1" ht="30" customHeight="1">
      <c r="A1" s="17" t="inlineStr">
        <is>
          <t>#</t>
        </is>
      </c>
      <c r="B1" s="18" t="inlineStr">
        <is>
          <t>Date</t>
        </is>
      </c>
      <c r="C1" s="18" t="inlineStr">
        <is>
          <t>Stars</t>
        </is>
      </c>
      <c r="D1" s="18" t="inlineStr">
        <is>
          <t>Primary driver</t>
        </is>
      </c>
      <c r="E1" s="18" t="inlineStr">
        <is>
          <t>Subtag</t>
        </is>
      </c>
      <c r="F1" s="18" t="inlineStr">
        <is>
          <t>Contacted support</t>
        </is>
      </c>
      <c r="G1" s="18" t="inlineStr">
        <is>
          <t>Severity</t>
        </is>
      </c>
      <c r="H1" s="18" t="inlineStr">
        <is>
          <t>Says they'll leave</t>
        </is>
      </c>
    </row>
    <row r="2">
      <c r="A2" s="9" t="n">
        <v>1</v>
      </c>
      <c r="B2" s="58" t="n">
        <v>46316</v>
      </c>
      <c r="C2" s="9" t="n">
        <v>1</v>
      </c>
      <c r="D2" s="9" t="inlineStr">
        <is>
          <t>partner_cancellation</t>
        </is>
      </c>
      <c r="E2" s="9" t="inlineStr">
        <is>
          <t>no_show</t>
        </is>
      </c>
      <c r="F2" s="9" t="inlineStr">
        <is>
          <t>no</t>
        </is>
      </c>
      <c r="G2" s="9" t="inlineStr">
        <is>
          <t>medium</t>
        </is>
      </c>
      <c r="H2" s="9" t="inlineStr">
        <is>
          <t>yes</t>
        </is>
      </c>
    </row>
    <row r="3">
      <c r="A3" s="9" t="n">
        <v>2</v>
      </c>
      <c r="B3" s="58" t="n">
        <v>46315</v>
      </c>
      <c r="C3" s="9" t="n">
        <v>1</v>
      </c>
      <c r="D3" s="9" t="inlineStr">
        <is>
          <t>service_quality</t>
        </is>
      </c>
      <c r="E3" s="9" t="inlineStr">
        <is>
          <t>poor_skill</t>
        </is>
      </c>
      <c r="F3" s="9" t="inlineStr">
        <is>
          <t>no</t>
        </is>
      </c>
      <c r="G3" s="9" t="inlineStr">
        <is>
          <t>medium</t>
        </is>
      </c>
      <c r="H3" s="9" t="inlineStr">
        <is>
          <t>no</t>
        </is>
      </c>
    </row>
    <row r="4">
      <c r="A4" s="9" t="n">
        <v>3</v>
      </c>
      <c r="B4" s="58" t="n">
        <v>46315</v>
      </c>
      <c r="C4" s="9" t="n">
        <v>5</v>
      </c>
      <c r="D4" s="9" t="inlineStr">
        <is>
          <t>praise</t>
        </is>
      </c>
      <c r="E4" s="9" t="inlineStr">
        <is>
          <t>praise_service</t>
        </is>
      </c>
      <c r="F4" s="9" t="inlineStr">
        <is>
          <t>no</t>
        </is>
      </c>
      <c r="G4" s="9" t="inlineStr">
        <is>
          <t>none</t>
        </is>
      </c>
      <c r="H4" s="9" t="inlineStr">
        <is>
          <t>no</t>
        </is>
      </c>
    </row>
    <row r="5">
      <c r="A5" s="9" t="n">
        <v>4</v>
      </c>
      <c r="B5" s="58" t="n">
        <v>46315</v>
      </c>
      <c r="C5" s="9" t="n">
        <v>1</v>
      </c>
      <c r="D5" s="9" t="inlineStr">
        <is>
          <t>partner_cancellation</t>
        </is>
      </c>
      <c r="E5" s="9" t="inlineStr">
        <is>
          <t>repeated_reschedule</t>
        </is>
      </c>
      <c r="F5" s="9" t="inlineStr">
        <is>
          <t>no</t>
        </is>
      </c>
      <c r="G5" s="9" t="inlineStr">
        <is>
          <t>medium</t>
        </is>
      </c>
      <c r="H5" s="9" t="inlineStr">
        <is>
          <t>no</t>
        </is>
      </c>
    </row>
    <row r="6">
      <c r="A6" s="9" t="n">
        <v>5</v>
      </c>
      <c r="B6" s="58" t="n">
        <v>46315</v>
      </c>
      <c r="C6" s="9" t="n">
        <v>5</v>
      </c>
      <c r="D6" s="9" t="inlineStr">
        <is>
          <t>praise</t>
        </is>
      </c>
      <c r="E6" s="9" t="inlineStr">
        <is>
          <t>praise_professional</t>
        </is>
      </c>
      <c r="F6" s="9" t="inlineStr">
        <is>
          <t>no</t>
        </is>
      </c>
      <c r="G6" s="9" t="inlineStr">
        <is>
          <t>none</t>
        </is>
      </c>
      <c r="H6" s="9" t="inlineStr">
        <is>
          <t>no</t>
        </is>
      </c>
    </row>
    <row r="7">
      <c r="A7" s="9" t="n">
        <v>6</v>
      </c>
      <c r="B7" s="58" t="n">
        <v>46315</v>
      </c>
      <c r="C7" s="9" t="n">
        <v>1</v>
      </c>
      <c r="D7" s="9" t="inlineStr">
        <is>
          <t>service_quality</t>
        </is>
      </c>
      <c r="E7" s="9" t="inlineStr">
        <is>
          <t>poor_skill</t>
        </is>
      </c>
      <c r="F7" s="9" t="inlineStr">
        <is>
          <t>no</t>
        </is>
      </c>
      <c r="G7" s="9" t="inlineStr">
        <is>
          <t>medium</t>
        </is>
      </c>
      <c r="H7" s="9" t="inlineStr">
        <is>
          <t>no</t>
        </is>
      </c>
    </row>
    <row r="8">
      <c r="A8" s="9" t="n">
        <v>7</v>
      </c>
      <c r="B8" s="58" t="n">
        <v>46315</v>
      </c>
      <c r="C8" s="9" t="n">
        <v>5</v>
      </c>
      <c r="D8" s="9" t="inlineStr">
        <is>
          <t>praise</t>
        </is>
      </c>
      <c r="E8" s="9" t="inlineStr">
        <is>
          <t>praise_service</t>
        </is>
      </c>
      <c r="F8" s="9" t="inlineStr">
        <is>
          <t>no</t>
        </is>
      </c>
      <c r="G8" s="9" t="inlineStr">
        <is>
          <t>none</t>
        </is>
      </c>
      <c r="H8" s="9" t="inlineStr">
        <is>
          <t>no</t>
        </is>
      </c>
    </row>
    <row r="9">
      <c r="A9" s="9" t="n">
        <v>8</v>
      </c>
      <c r="B9" s="58" t="n">
        <v>46315</v>
      </c>
      <c r="C9" s="9" t="n">
        <v>3</v>
      </c>
      <c r="D9" s="9" t="inlineStr">
        <is>
          <t>other</t>
        </is>
      </c>
      <c r="E9" s="9" t="inlineStr">
        <is>
          <t>other_issue</t>
        </is>
      </c>
      <c r="F9" s="9" t="inlineStr">
        <is>
          <t>no</t>
        </is>
      </c>
      <c r="G9" s="9" t="inlineStr">
        <is>
          <t>low</t>
        </is>
      </c>
      <c r="H9" s="9" t="inlineStr">
        <is>
          <t>no</t>
        </is>
      </c>
    </row>
    <row r="10">
      <c r="A10" s="9" t="n">
        <v>9</v>
      </c>
      <c r="B10" s="58" t="n">
        <v>46315</v>
      </c>
      <c r="C10" s="9" t="n">
        <v>1</v>
      </c>
      <c r="D10" s="9" t="inlineStr">
        <is>
          <t>support</t>
        </is>
      </c>
      <c r="E10" s="9" t="inlineStr">
        <is>
          <t>unhelpful_or_scripted</t>
        </is>
      </c>
      <c r="F10" s="9" t="inlineStr">
        <is>
          <t>yes</t>
        </is>
      </c>
      <c r="G10" s="9" t="inlineStr">
        <is>
          <t>low</t>
        </is>
      </c>
      <c r="H10" s="9" t="inlineStr">
        <is>
          <t>no</t>
        </is>
      </c>
    </row>
    <row r="11">
      <c r="A11" s="9" t="n">
        <v>10</v>
      </c>
      <c r="B11" s="58" t="n">
        <v>46315</v>
      </c>
      <c r="C11" s="9" t="n">
        <v>1</v>
      </c>
      <c r="D11" s="9" t="inlineStr">
        <is>
          <t>partner_cancellation</t>
        </is>
      </c>
      <c r="E11" s="9" t="inlineStr">
        <is>
          <t>repeated_reschedule</t>
        </is>
      </c>
      <c r="F11" s="9" t="inlineStr">
        <is>
          <t>no</t>
        </is>
      </c>
      <c r="G11" s="9" t="inlineStr">
        <is>
          <t>medium</t>
        </is>
      </c>
      <c r="H11" s="9" t="inlineStr">
        <is>
          <t>yes</t>
        </is>
      </c>
    </row>
    <row r="12">
      <c r="A12" s="9" t="n">
        <v>11</v>
      </c>
      <c r="B12" s="58" t="n">
        <v>46315</v>
      </c>
      <c r="C12" s="9" t="n">
        <v>1</v>
      </c>
      <c r="D12" s="9" t="inlineStr">
        <is>
          <t>other</t>
        </is>
      </c>
      <c r="E12" s="9" t="inlineStr">
        <is>
          <t>unclear</t>
        </is>
      </c>
      <c r="F12" s="9" t="inlineStr">
        <is>
          <t>no</t>
        </is>
      </c>
      <c r="G12" s="9" t="inlineStr">
        <is>
          <t>low</t>
        </is>
      </c>
      <c r="H12" s="9" t="inlineStr">
        <is>
          <t>no</t>
        </is>
      </c>
    </row>
    <row r="13">
      <c r="A13" s="9" t="n">
        <v>12</v>
      </c>
      <c r="B13" s="58" t="n">
        <v>46315</v>
      </c>
      <c r="C13" s="9" t="n">
        <v>5</v>
      </c>
      <c r="D13" s="9" t="inlineStr">
        <is>
          <t>praise</t>
        </is>
      </c>
      <c r="E13" s="9" t="inlineStr">
        <is>
          <t>praise_service</t>
        </is>
      </c>
      <c r="F13" s="9" t="inlineStr">
        <is>
          <t>no</t>
        </is>
      </c>
      <c r="G13" s="9" t="inlineStr">
        <is>
          <t>none</t>
        </is>
      </c>
      <c r="H13" s="9" t="inlineStr">
        <is>
          <t>no</t>
        </is>
      </c>
    </row>
    <row r="14">
      <c r="A14" s="9" t="n">
        <v>13</v>
      </c>
      <c r="B14" s="58" t="n">
        <v>46315</v>
      </c>
      <c r="C14" s="9" t="n">
        <v>5</v>
      </c>
      <c r="D14" s="9" t="inlineStr">
        <is>
          <t>praise</t>
        </is>
      </c>
      <c r="E14" s="9" t="inlineStr">
        <is>
          <t>praise_professional</t>
        </is>
      </c>
      <c r="F14" s="9" t="inlineStr">
        <is>
          <t>no</t>
        </is>
      </c>
      <c r="G14" s="9" t="inlineStr">
        <is>
          <t>none</t>
        </is>
      </c>
      <c r="H14" s="9" t="inlineStr">
        <is>
          <t>no</t>
        </is>
      </c>
    </row>
    <row r="15">
      <c r="A15" s="9" t="n">
        <v>14</v>
      </c>
      <c r="B15" s="58" t="n">
        <v>46315</v>
      </c>
      <c r="C15" s="9" t="n">
        <v>5</v>
      </c>
      <c r="D15" s="9" t="inlineStr">
        <is>
          <t>praise</t>
        </is>
      </c>
      <c r="E15" s="9" t="inlineStr">
        <is>
          <t>praise_service</t>
        </is>
      </c>
      <c r="F15" s="9" t="inlineStr">
        <is>
          <t>no</t>
        </is>
      </c>
      <c r="G15" s="9" t="inlineStr">
        <is>
          <t>none</t>
        </is>
      </c>
      <c r="H15" s="9" t="inlineStr">
        <is>
          <t>no</t>
        </is>
      </c>
    </row>
    <row r="16">
      <c r="A16" s="9" t="n">
        <v>15</v>
      </c>
      <c r="B16" s="58" t="n">
        <v>46315</v>
      </c>
      <c r="C16" s="9" t="n">
        <v>1</v>
      </c>
      <c r="D16" s="9" t="inlineStr">
        <is>
          <t>service_quality</t>
        </is>
      </c>
      <c r="E16" s="9" t="inlineStr">
        <is>
          <t>poor_skill</t>
        </is>
      </c>
      <c r="F16" s="9" t="inlineStr">
        <is>
          <t>no</t>
        </is>
      </c>
      <c r="G16" s="9" t="inlineStr">
        <is>
          <t>high</t>
        </is>
      </c>
      <c r="H16" s="9" t="inlineStr">
        <is>
          <t>no</t>
        </is>
      </c>
    </row>
    <row r="17">
      <c r="A17" s="9" t="n">
        <v>16</v>
      </c>
      <c r="B17" s="58" t="n">
        <v>46315</v>
      </c>
      <c r="C17" s="9" t="n">
        <v>1</v>
      </c>
      <c r="D17" s="9" t="inlineStr">
        <is>
          <t>partner_cancellation</t>
        </is>
      </c>
      <c r="E17" s="9" t="inlineStr">
        <is>
          <t>no_partner_available</t>
        </is>
      </c>
      <c r="F17" s="9" t="inlineStr">
        <is>
          <t>no</t>
        </is>
      </c>
      <c r="G17" s="9" t="inlineStr">
        <is>
          <t>medium</t>
        </is>
      </c>
      <c r="H17" s="9" t="inlineStr">
        <is>
          <t>no</t>
        </is>
      </c>
    </row>
    <row r="18">
      <c r="A18" s="9" t="n">
        <v>17</v>
      </c>
      <c r="B18" s="58" t="n">
        <v>46314</v>
      </c>
      <c r="C18" s="9" t="n">
        <v>5</v>
      </c>
      <c r="D18" s="9" t="inlineStr">
        <is>
          <t>praise</t>
        </is>
      </c>
      <c r="E18" s="9" t="inlineStr">
        <is>
          <t>praise_service</t>
        </is>
      </c>
      <c r="F18" s="9" t="inlineStr">
        <is>
          <t>no</t>
        </is>
      </c>
      <c r="G18" s="9" t="inlineStr">
        <is>
          <t>none</t>
        </is>
      </c>
      <c r="H18" s="9" t="inlineStr">
        <is>
          <t>no</t>
        </is>
      </c>
    </row>
    <row r="19">
      <c r="A19" s="9" t="n">
        <v>18</v>
      </c>
      <c r="B19" s="58" t="n">
        <v>46314</v>
      </c>
      <c r="C19" s="9" t="n">
        <v>3</v>
      </c>
      <c r="D19" s="9" t="inlineStr">
        <is>
          <t>other</t>
        </is>
      </c>
      <c r="E19" s="9" t="inlineStr">
        <is>
          <t>other_issue</t>
        </is>
      </c>
      <c r="F19" s="9" t="inlineStr">
        <is>
          <t>no</t>
        </is>
      </c>
      <c r="G19" s="9" t="inlineStr">
        <is>
          <t>low</t>
        </is>
      </c>
      <c r="H19" s="9" t="inlineStr">
        <is>
          <t>no</t>
        </is>
      </c>
    </row>
    <row r="20">
      <c r="A20" s="9" t="n">
        <v>19</v>
      </c>
      <c r="B20" s="58" t="n">
        <v>46314</v>
      </c>
      <c r="C20" s="9" t="n">
        <v>1</v>
      </c>
      <c r="D20" s="9" t="inlineStr">
        <is>
          <t>support</t>
        </is>
      </c>
      <c r="E20" s="9" t="inlineStr">
        <is>
          <t>unhelpful_or_scripted</t>
        </is>
      </c>
      <c r="F20" s="9" t="inlineStr">
        <is>
          <t>yes</t>
        </is>
      </c>
      <c r="G20" s="9" t="inlineStr">
        <is>
          <t>low</t>
        </is>
      </c>
      <c r="H20" s="9" t="inlineStr">
        <is>
          <t>yes</t>
        </is>
      </c>
    </row>
    <row r="21">
      <c r="A21" s="9" t="n">
        <v>20</v>
      </c>
      <c r="B21" s="58" t="n">
        <v>46314</v>
      </c>
      <c r="C21" s="9" t="n">
        <v>5</v>
      </c>
      <c r="D21" s="9" t="inlineStr">
        <is>
          <t>praise</t>
        </is>
      </c>
      <c r="E21" s="9" t="inlineStr">
        <is>
          <t>praise_service</t>
        </is>
      </c>
      <c r="F21" s="9" t="inlineStr">
        <is>
          <t>no</t>
        </is>
      </c>
      <c r="G21" s="9" t="inlineStr">
        <is>
          <t>none</t>
        </is>
      </c>
      <c r="H21" s="9" t="inlineStr">
        <is>
          <t>no</t>
        </is>
      </c>
    </row>
    <row r="22">
      <c r="A22" s="9" t="n">
        <v>21</v>
      </c>
      <c r="B22" s="58" t="n">
        <v>46314</v>
      </c>
      <c r="C22" s="9" t="n">
        <v>1</v>
      </c>
      <c r="D22" s="9" t="inlineStr">
        <is>
          <t>service_quality</t>
        </is>
      </c>
      <c r="E22" s="9" t="inlineStr">
        <is>
          <t>rushed_or_incomplete</t>
        </is>
      </c>
      <c r="F22" s="9" t="inlineStr">
        <is>
          <t>no</t>
        </is>
      </c>
      <c r="G22" s="9" t="inlineStr">
        <is>
          <t>medium</t>
        </is>
      </c>
      <c r="H22" s="9" t="inlineStr">
        <is>
          <t>no</t>
        </is>
      </c>
    </row>
    <row r="23">
      <c r="A23" s="9" t="n">
        <v>22</v>
      </c>
      <c r="B23" s="58" t="n">
        <v>46314</v>
      </c>
      <c r="C23" s="9" t="n">
        <v>5</v>
      </c>
      <c r="D23" s="9" t="inlineStr">
        <is>
          <t>praise</t>
        </is>
      </c>
      <c r="E23" s="9" t="inlineStr">
        <is>
          <t>praise_professional</t>
        </is>
      </c>
      <c r="F23" s="9" t="inlineStr">
        <is>
          <t>no</t>
        </is>
      </c>
      <c r="G23" s="9" t="inlineStr">
        <is>
          <t>none</t>
        </is>
      </c>
      <c r="H23" s="9" t="inlineStr">
        <is>
          <t>no</t>
        </is>
      </c>
    </row>
    <row r="24">
      <c r="A24" s="9" t="n">
        <v>23</v>
      </c>
      <c r="B24" s="58" t="n">
        <v>46313</v>
      </c>
      <c r="C24" s="9" t="n">
        <v>5</v>
      </c>
      <c r="D24" s="9" t="inlineStr">
        <is>
          <t>praise</t>
        </is>
      </c>
      <c r="E24" s="9" t="inlineStr">
        <is>
          <t>praise_service</t>
        </is>
      </c>
      <c r="F24" s="9" t="inlineStr">
        <is>
          <t>no</t>
        </is>
      </c>
      <c r="G24" s="9" t="inlineStr">
        <is>
          <t>none</t>
        </is>
      </c>
      <c r="H24" s="9" t="inlineStr">
        <is>
          <t>no</t>
        </is>
      </c>
    </row>
    <row r="25">
      <c r="A25" s="9" t="n">
        <v>24</v>
      </c>
      <c r="B25" s="58" t="n">
        <v>46313</v>
      </c>
      <c r="C25" s="9" t="n">
        <v>1</v>
      </c>
      <c r="D25" s="9" t="inlineStr">
        <is>
          <t>partner_cancellation</t>
        </is>
      </c>
      <c r="E25" s="9" t="inlineStr">
        <is>
          <t>last_minute_cancel</t>
        </is>
      </c>
      <c r="F25" s="9" t="inlineStr">
        <is>
          <t>yes</t>
        </is>
      </c>
      <c r="G25" s="9" t="inlineStr">
        <is>
          <t>high</t>
        </is>
      </c>
      <c r="H25" s="9" t="inlineStr">
        <is>
          <t>yes</t>
        </is>
      </c>
    </row>
    <row r="26">
      <c r="A26" s="9" t="n">
        <v>25</v>
      </c>
      <c r="B26" s="58" t="n">
        <v>46313</v>
      </c>
      <c r="C26" s="9" t="n">
        <v>5</v>
      </c>
      <c r="D26" s="9" t="inlineStr">
        <is>
          <t>praise</t>
        </is>
      </c>
      <c r="E26" s="9" t="inlineStr">
        <is>
          <t>praise_service</t>
        </is>
      </c>
      <c r="F26" s="9" t="inlineStr">
        <is>
          <t>no</t>
        </is>
      </c>
      <c r="G26" s="9" t="inlineStr">
        <is>
          <t>none</t>
        </is>
      </c>
      <c r="H26" s="9" t="inlineStr">
        <is>
          <t>no</t>
        </is>
      </c>
    </row>
    <row r="27">
      <c r="A27" s="9" t="n">
        <v>26</v>
      </c>
      <c r="B27" s="58" t="n">
        <v>46313</v>
      </c>
      <c r="C27" s="9" t="n">
        <v>5</v>
      </c>
      <c r="D27" s="9" t="inlineStr">
        <is>
          <t>praise</t>
        </is>
      </c>
      <c r="E27" s="9" t="inlineStr">
        <is>
          <t>praise_professional</t>
        </is>
      </c>
      <c r="F27" s="9" t="inlineStr">
        <is>
          <t>no</t>
        </is>
      </c>
      <c r="G27" s="9" t="inlineStr">
        <is>
          <t>none</t>
        </is>
      </c>
      <c r="H27" s="9" t="inlineStr">
        <is>
          <t>no</t>
        </is>
      </c>
    </row>
    <row r="28">
      <c r="A28" s="9" t="n">
        <v>27</v>
      </c>
      <c r="B28" s="58" t="n">
        <v>46313</v>
      </c>
      <c r="C28" s="9" t="n">
        <v>1</v>
      </c>
      <c r="D28" s="9" t="inlineStr">
        <is>
          <t>partner_cancellation</t>
        </is>
      </c>
      <c r="E28" s="9" t="inlineStr">
        <is>
          <t>last_minute_cancel</t>
        </is>
      </c>
      <c r="F28" s="9" t="inlineStr">
        <is>
          <t>yes</t>
        </is>
      </c>
      <c r="G28" s="9" t="inlineStr">
        <is>
          <t>medium</t>
        </is>
      </c>
      <c r="H28" s="9" t="inlineStr">
        <is>
          <t>yes</t>
        </is>
      </c>
    </row>
    <row r="29">
      <c r="A29" s="9" t="n">
        <v>28</v>
      </c>
      <c r="B29" s="58" t="n">
        <v>46313</v>
      </c>
      <c r="C29" s="9" t="n">
        <v>1</v>
      </c>
      <c r="D29" s="9" t="inlineStr">
        <is>
          <t>partner_cancellation</t>
        </is>
      </c>
      <c r="E29" s="9" t="inlineStr">
        <is>
          <t>no_partner_available</t>
        </is>
      </c>
      <c r="F29" s="9" t="inlineStr">
        <is>
          <t>no</t>
        </is>
      </c>
      <c r="G29" s="9" t="inlineStr">
        <is>
          <t>medium</t>
        </is>
      </c>
      <c r="H29" s="9" t="inlineStr">
        <is>
          <t>no</t>
        </is>
      </c>
    </row>
    <row r="30">
      <c r="A30" s="9" t="n">
        <v>29</v>
      </c>
      <c r="B30" s="58" t="n">
        <v>46313</v>
      </c>
      <c r="C30" s="9" t="n">
        <v>1</v>
      </c>
      <c r="D30" s="9" t="inlineStr">
        <is>
          <t>service_quality</t>
        </is>
      </c>
      <c r="E30" s="9" t="inlineStr">
        <is>
          <t>rude_behaviour</t>
        </is>
      </c>
      <c r="F30" s="9" t="inlineStr">
        <is>
          <t>yes</t>
        </is>
      </c>
      <c r="G30" s="9" t="inlineStr">
        <is>
          <t>medium</t>
        </is>
      </c>
      <c r="H30" s="9" t="inlineStr">
        <is>
          <t>no</t>
        </is>
      </c>
    </row>
    <row r="31">
      <c r="A31" s="9" t="n">
        <v>30</v>
      </c>
      <c r="B31" s="58" t="n">
        <v>46313</v>
      </c>
      <c r="C31" s="9" t="n">
        <v>1</v>
      </c>
      <c r="D31" s="9" t="inlineStr">
        <is>
          <t>delay</t>
        </is>
      </c>
      <c r="E31" s="9" t="inlineStr">
        <is>
          <t>late_arrival</t>
        </is>
      </c>
      <c r="F31" s="9" t="inlineStr">
        <is>
          <t>no</t>
        </is>
      </c>
      <c r="G31" s="9" t="inlineStr">
        <is>
          <t>medium</t>
        </is>
      </c>
      <c r="H31" s="9" t="inlineStr">
        <is>
          <t>no</t>
        </is>
      </c>
    </row>
    <row r="32">
      <c r="A32" s="9" t="n">
        <v>31</v>
      </c>
      <c r="B32" s="58" t="n">
        <v>46313</v>
      </c>
      <c r="C32" s="9" t="n">
        <v>1</v>
      </c>
      <c r="D32" s="9" t="inlineStr">
        <is>
          <t>partner_cancellation</t>
        </is>
      </c>
      <c r="E32" s="9" t="inlineStr">
        <is>
          <t>last_minute_cancel</t>
        </is>
      </c>
      <c r="F32" s="9" t="inlineStr">
        <is>
          <t>no</t>
        </is>
      </c>
      <c r="G32" s="9" t="inlineStr">
        <is>
          <t>medium</t>
        </is>
      </c>
      <c r="H32" s="9" t="inlineStr">
        <is>
          <t>no</t>
        </is>
      </c>
    </row>
    <row r="33">
      <c r="A33" s="9" t="n">
        <v>32</v>
      </c>
      <c r="B33" s="58" t="n">
        <v>46313</v>
      </c>
      <c r="C33" s="9" t="n">
        <v>5</v>
      </c>
      <c r="D33" s="9" t="inlineStr">
        <is>
          <t>praise</t>
        </is>
      </c>
      <c r="E33" s="9" t="inlineStr">
        <is>
          <t>praise_service</t>
        </is>
      </c>
      <c r="F33" s="9" t="inlineStr">
        <is>
          <t>no</t>
        </is>
      </c>
      <c r="G33" s="9" t="inlineStr">
        <is>
          <t>none</t>
        </is>
      </c>
      <c r="H33" s="9" t="inlineStr">
        <is>
          <t>no</t>
        </is>
      </c>
    </row>
    <row r="34">
      <c r="A34" s="9" t="n">
        <v>33</v>
      </c>
      <c r="B34" s="58" t="n">
        <v>46313</v>
      </c>
      <c r="C34" s="9" t="n">
        <v>5</v>
      </c>
      <c r="D34" s="9" t="inlineStr">
        <is>
          <t>praise</t>
        </is>
      </c>
      <c r="E34" s="9" t="inlineStr">
        <is>
          <t>praise_professional</t>
        </is>
      </c>
      <c r="F34" s="9" t="inlineStr">
        <is>
          <t>no</t>
        </is>
      </c>
      <c r="G34" s="9" t="inlineStr">
        <is>
          <t>none</t>
        </is>
      </c>
      <c r="H34" s="9" t="inlineStr">
        <is>
          <t>no</t>
        </is>
      </c>
    </row>
    <row r="35">
      <c r="A35" s="9" t="n">
        <v>34</v>
      </c>
      <c r="B35" s="58" t="n">
        <v>46313</v>
      </c>
      <c r="C35" s="9" t="n">
        <v>5</v>
      </c>
      <c r="D35" s="9" t="inlineStr">
        <is>
          <t>praise</t>
        </is>
      </c>
      <c r="E35" s="9" t="inlineStr">
        <is>
          <t>praise_service</t>
        </is>
      </c>
      <c r="F35" s="9" t="inlineStr">
        <is>
          <t>no</t>
        </is>
      </c>
      <c r="G35" s="9" t="inlineStr">
        <is>
          <t>none</t>
        </is>
      </c>
      <c r="H35" s="9" t="inlineStr">
        <is>
          <t>no</t>
        </is>
      </c>
    </row>
    <row r="36">
      <c r="A36" s="9" t="n">
        <v>35</v>
      </c>
      <c r="B36" s="58" t="n">
        <v>46312</v>
      </c>
      <c r="C36" s="9" t="n">
        <v>5</v>
      </c>
      <c r="D36" s="9" t="inlineStr">
        <is>
          <t>praise</t>
        </is>
      </c>
      <c r="E36" s="9" t="inlineStr">
        <is>
          <t>praise_professional</t>
        </is>
      </c>
      <c r="F36" s="9" t="inlineStr">
        <is>
          <t>no</t>
        </is>
      </c>
      <c r="G36" s="9" t="inlineStr">
        <is>
          <t>none</t>
        </is>
      </c>
      <c r="H36" s="9" t="inlineStr">
        <is>
          <t>no</t>
        </is>
      </c>
    </row>
    <row r="37">
      <c r="A37" s="9" t="n">
        <v>36</v>
      </c>
      <c r="B37" s="58" t="n">
        <v>46312</v>
      </c>
      <c r="C37" s="9" t="n">
        <v>5</v>
      </c>
      <c r="D37" s="9" t="inlineStr">
        <is>
          <t>praise</t>
        </is>
      </c>
      <c r="E37" s="9" t="inlineStr">
        <is>
          <t>praise_service</t>
        </is>
      </c>
      <c r="F37" s="9" t="inlineStr">
        <is>
          <t>no</t>
        </is>
      </c>
      <c r="G37" s="9" t="inlineStr">
        <is>
          <t>none</t>
        </is>
      </c>
      <c r="H37" s="9" t="inlineStr">
        <is>
          <t>no</t>
        </is>
      </c>
    </row>
    <row r="38">
      <c r="A38" s="9" t="n">
        <v>37</v>
      </c>
      <c r="B38" s="58" t="n">
        <v>46312</v>
      </c>
      <c r="C38" s="9" t="n">
        <v>2</v>
      </c>
      <c r="D38" s="9" t="inlineStr">
        <is>
          <t>price_clarity</t>
        </is>
      </c>
      <c r="E38" s="9" t="inlineStr">
        <is>
          <t>hidden_charges</t>
        </is>
      </c>
      <c r="F38" s="9" t="inlineStr">
        <is>
          <t>no</t>
        </is>
      </c>
      <c r="G38" s="9" t="inlineStr">
        <is>
          <t>low</t>
        </is>
      </c>
      <c r="H38" s="9" t="inlineStr">
        <is>
          <t>no</t>
        </is>
      </c>
    </row>
    <row r="39">
      <c r="A39" s="9" t="n">
        <v>38</v>
      </c>
      <c r="B39" s="58" t="n">
        <v>46312</v>
      </c>
      <c r="C39" s="9" t="n">
        <v>3</v>
      </c>
      <c r="D39" s="9" t="inlineStr">
        <is>
          <t>other</t>
        </is>
      </c>
      <c r="E39" s="9" t="inlineStr">
        <is>
          <t>other_issue</t>
        </is>
      </c>
      <c r="F39" s="9" t="inlineStr">
        <is>
          <t>no</t>
        </is>
      </c>
      <c r="G39" s="9" t="inlineStr">
        <is>
          <t>low</t>
        </is>
      </c>
      <c r="H39" s="9" t="inlineStr">
        <is>
          <t>no</t>
        </is>
      </c>
    </row>
    <row r="40">
      <c r="A40" s="9" t="n">
        <v>39</v>
      </c>
      <c r="B40" s="58" t="n">
        <v>46312</v>
      </c>
      <c r="C40" s="9" t="n">
        <v>5</v>
      </c>
      <c r="D40" s="9" t="inlineStr">
        <is>
          <t>praise</t>
        </is>
      </c>
      <c r="E40" s="9" t="inlineStr">
        <is>
          <t>praise_professional</t>
        </is>
      </c>
      <c r="F40" s="9" t="inlineStr">
        <is>
          <t>no</t>
        </is>
      </c>
      <c r="G40" s="9" t="inlineStr">
        <is>
          <t>none</t>
        </is>
      </c>
      <c r="H40" s="9" t="inlineStr">
        <is>
          <t>no</t>
        </is>
      </c>
    </row>
    <row r="41">
      <c r="A41" s="9" t="n">
        <v>40</v>
      </c>
      <c r="B41" s="58" t="n">
        <v>46312</v>
      </c>
      <c r="C41" s="9" t="n">
        <v>5</v>
      </c>
      <c r="D41" s="9" t="inlineStr">
        <is>
          <t>praise</t>
        </is>
      </c>
      <c r="E41" s="9" t="inlineStr">
        <is>
          <t>praise_service</t>
        </is>
      </c>
      <c r="F41" s="9" t="inlineStr">
        <is>
          <t>no</t>
        </is>
      </c>
      <c r="G41" s="9" t="inlineStr">
        <is>
          <t>none</t>
        </is>
      </c>
      <c r="H41" s="9" t="inlineStr">
        <is>
          <t>no</t>
        </is>
      </c>
    </row>
    <row r="42">
      <c r="A42" s="9" t="n">
        <v>41</v>
      </c>
      <c r="B42" s="58" t="n">
        <v>46312</v>
      </c>
      <c r="C42" s="9" t="n">
        <v>1</v>
      </c>
      <c r="D42" s="9" t="inlineStr">
        <is>
          <t>service_quality</t>
        </is>
      </c>
      <c r="E42" s="9" t="inlineStr">
        <is>
          <t>safety_or_theft</t>
        </is>
      </c>
      <c r="F42" s="9" t="inlineStr">
        <is>
          <t>yes</t>
        </is>
      </c>
      <c r="G42" s="9" t="inlineStr">
        <is>
          <t>high</t>
        </is>
      </c>
      <c r="H42" s="9" t="inlineStr">
        <is>
          <t>no</t>
        </is>
      </c>
    </row>
    <row r="43">
      <c r="A43" s="9" t="n">
        <v>42</v>
      </c>
      <c r="B43" s="58" t="n">
        <v>46312</v>
      </c>
      <c r="C43" s="9" t="n">
        <v>1</v>
      </c>
      <c r="D43" s="9" t="inlineStr">
        <is>
          <t>payment_refund</t>
        </is>
      </c>
      <c r="E43" s="9" t="inlineStr">
        <is>
          <t>charged_not_served</t>
        </is>
      </c>
      <c r="F43" s="9" t="inlineStr">
        <is>
          <t>no</t>
        </is>
      </c>
      <c r="G43" s="9" t="inlineStr">
        <is>
          <t>high</t>
        </is>
      </c>
      <c r="H43" s="9" t="inlineStr">
        <is>
          <t>yes</t>
        </is>
      </c>
    </row>
    <row r="44">
      <c r="A44" s="9" t="n">
        <v>43</v>
      </c>
      <c r="B44" s="58" t="n">
        <v>46312</v>
      </c>
      <c r="C44" s="9" t="n">
        <v>5</v>
      </c>
      <c r="D44" s="9" t="inlineStr">
        <is>
          <t>praise</t>
        </is>
      </c>
      <c r="E44" s="9" t="inlineStr">
        <is>
          <t>praise_service</t>
        </is>
      </c>
      <c r="F44" s="9" t="inlineStr">
        <is>
          <t>no</t>
        </is>
      </c>
      <c r="G44" s="9" t="inlineStr">
        <is>
          <t>none</t>
        </is>
      </c>
      <c r="H44" s="9" t="inlineStr">
        <is>
          <t>no</t>
        </is>
      </c>
    </row>
    <row r="45">
      <c r="A45" s="9" t="n">
        <v>44</v>
      </c>
      <c r="B45" s="58" t="n">
        <v>46312</v>
      </c>
      <c r="C45" s="9" t="n">
        <v>5</v>
      </c>
      <c r="D45" s="9" t="inlineStr">
        <is>
          <t>praise</t>
        </is>
      </c>
      <c r="E45" s="9" t="inlineStr">
        <is>
          <t>praise_professional</t>
        </is>
      </c>
      <c r="F45" s="9" t="inlineStr">
        <is>
          <t>no</t>
        </is>
      </c>
      <c r="G45" s="9" t="inlineStr">
        <is>
          <t>none</t>
        </is>
      </c>
      <c r="H45" s="9" t="inlineStr">
        <is>
          <t>no</t>
        </is>
      </c>
    </row>
    <row r="46">
      <c r="A46" s="9" t="n">
        <v>45</v>
      </c>
      <c r="B46" s="58" t="n">
        <v>46312</v>
      </c>
      <c r="C46" s="9" t="n">
        <v>5</v>
      </c>
      <c r="D46" s="9" t="inlineStr">
        <is>
          <t>partner_cancellation</t>
        </is>
      </c>
      <c r="E46" s="9" t="inlineStr">
        <is>
          <t>no_show</t>
        </is>
      </c>
      <c r="F46" s="9" t="inlineStr">
        <is>
          <t>yes</t>
        </is>
      </c>
      <c r="G46" s="9" t="inlineStr">
        <is>
          <t>medium</t>
        </is>
      </c>
      <c r="H46" s="9" t="inlineStr">
        <is>
          <t>no</t>
        </is>
      </c>
    </row>
    <row r="47">
      <c r="A47" s="9" t="n">
        <v>46</v>
      </c>
      <c r="B47" s="58" t="n">
        <v>46312</v>
      </c>
      <c r="C47" s="9" t="n">
        <v>5</v>
      </c>
      <c r="D47" s="9" t="inlineStr">
        <is>
          <t>praise</t>
        </is>
      </c>
      <c r="E47" s="9" t="inlineStr">
        <is>
          <t>praise_service</t>
        </is>
      </c>
      <c r="F47" s="9" t="inlineStr">
        <is>
          <t>no</t>
        </is>
      </c>
      <c r="G47" s="9" t="inlineStr">
        <is>
          <t>none</t>
        </is>
      </c>
      <c r="H47" s="9" t="inlineStr">
        <is>
          <t>no</t>
        </is>
      </c>
    </row>
    <row r="48">
      <c r="A48" s="9" t="n">
        <v>47</v>
      </c>
      <c r="B48" s="58" t="n">
        <v>46311</v>
      </c>
      <c r="C48" s="9" t="n">
        <v>5</v>
      </c>
      <c r="D48" s="9" t="inlineStr">
        <is>
          <t>praise</t>
        </is>
      </c>
      <c r="E48" s="9" t="inlineStr">
        <is>
          <t>praise_service</t>
        </is>
      </c>
      <c r="F48" s="9" t="inlineStr">
        <is>
          <t>no</t>
        </is>
      </c>
      <c r="G48" s="9" t="inlineStr">
        <is>
          <t>none</t>
        </is>
      </c>
      <c r="H48" s="9" t="inlineStr">
        <is>
          <t>no</t>
        </is>
      </c>
    </row>
    <row r="49">
      <c r="A49" s="9" t="n">
        <v>48</v>
      </c>
      <c r="B49" s="58" t="n">
        <v>46311</v>
      </c>
      <c r="C49" s="9" t="n">
        <v>5</v>
      </c>
      <c r="D49" s="9" t="inlineStr">
        <is>
          <t>praise</t>
        </is>
      </c>
      <c r="E49" s="9" t="inlineStr">
        <is>
          <t>praise_service</t>
        </is>
      </c>
      <c r="F49" s="9" t="inlineStr">
        <is>
          <t>no</t>
        </is>
      </c>
      <c r="G49" s="9" t="inlineStr">
        <is>
          <t>none</t>
        </is>
      </c>
      <c r="H49" s="9" t="inlineStr">
        <is>
          <t>no</t>
        </is>
      </c>
    </row>
    <row r="50">
      <c r="A50" s="9" t="n">
        <v>49</v>
      </c>
      <c r="B50" s="58" t="n">
        <v>46311</v>
      </c>
      <c r="C50" s="9" t="n">
        <v>5</v>
      </c>
      <c r="D50" s="9" t="inlineStr">
        <is>
          <t>praise</t>
        </is>
      </c>
      <c r="E50" s="9" t="inlineStr">
        <is>
          <t>praise_professional</t>
        </is>
      </c>
      <c r="F50" s="9" t="inlineStr">
        <is>
          <t>no</t>
        </is>
      </c>
      <c r="G50" s="9" t="inlineStr">
        <is>
          <t>none</t>
        </is>
      </c>
      <c r="H50" s="9" t="inlineStr">
        <is>
          <t>no</t>
        </is>
      </c>
    </row>
    <row r="51">
      <c r="A51" s="9" t="n">
        <v>50</v>
      </c>
      <c r="B51" s="58" t="n">
        <v>46311</v>
      </c>
      <c r="C51" s="9" t="n">
        <v>5</v>
      </c>
      <c r="D51" s="9" t="inlineStr">
        <is>
          <t>praise</t>
        </is>
      </c>
      <c r="E51" s="9" t="inlineStr">
        <is>
          <t>praise_service</t>
        </is>
      </c>
      <c r="F51" s="9" t="inlineStr">
        <is>
          <t>no</t>
        </is>
      </c>
      <c r="G51" s="9" t="inlineStr">
        <is>
          <t>none</t>
        </is>
      </c>
      <c r="H51" s="9" t="inlineStr">
        <is>
          <t>no</t>
        </is>
      </c>
    </row>
    <row r="52">
      <c r="A52" s="9" t="n">
        <v>51</v>
      </c>
      <c r="B52" s="58" t="n">
        <v>46311</v>
      </c>
      <c r="C52" s="9" t="n">
        <v>5</v>
      </c>
      <c r="D52" s="9" t="inlineStr">
        <is>
          <t>praise</t>
        </is>
      </c>
      <c r="E52" s="9" t="inlineStr">
        <is>
          <t>praise_service</t>
        </is>
      </c>
      <c r="F52" s="9" t="inlineStr">
        <is>
          <t>no</t>
        </is>
      </c>
      <c r="G52" s="9" t="inlineStr">
        <is>
          <t>none</t>
        </is>
      </c>
      <c r="H52" s="9" t="inlineStr">
        <is>
          <t>no</t>
        </is>
      </c>
    </row>
    <row r="53">
      <c r="A53" s="9" t="n">
        <v>52</v>
      </c>
      <c r="B53" s="58" t="n">
        <v>46311</v>
      </c>
      <c r="C53" s="9" t="n">
        <v>1</v>
      </c>
      <c r="D53" s="9" t="inlineStr">
        <is>
          <t>support</t>
        </is>
      </c>
      <c r="E53" s="9" t="inlineStr">
        <is>
          <t>unhelpful_or_scripted</t>
        </is>
      </c>
      <c r="F53" s="9" t="inlineStr">
        <is>
          <t>yes</t>
        </is>
      </c>
      <c r="G53" s="9" t="inlineStr">
        <is>
          <t>low</t>
        </is>
      </c>
      <c r="H53" s="9" t="inlineStr">
        <is>
          <t>no</t>
        </is>
      </c>
    </row>
    <row r="54">
      <c r="A54" s="9" t="n">
        <v>53</v>
      </c>
      <c r="B54" s="58" t="n">
        <v>46311</v>
      </c>
      <c r="C54" s="9" t="n">
        <v>1</v>
      </c>
      <c r="D54" s="9" t="inlineStr">
        <is>
          <t>support</t>
        </is>
      </c>
      <c r="E54" s="9" t="inlineStr">
        <is>
          <t>unreachable</t>
        </is>
      </c>
      <c r="F54" s="9" t="inlineStr">
        <is>
          <t>no</t>
        </is>
      </c>
      <c r="G54" s="9" t="inlineStr">
        <is>
          <t>low</t>
        </is>
      </c>
      <c r="H54" s="9" t="inlineStr">
        <is>
          <t>no</t>
        </is>
      </c>
    </row>
    <row r="55">
      <c r="A55" s="9" t="n">
        <v>54</v>
      </c>
      <c r="B55" s="58" t="n">
        <v>46311</v>
      </c>
      <c r="C55" s="9" t="n">
        <v>1</v>
      </c>
      <c r="D55" s="9" t="inlineStr">
        <is>
          <t>partner_cancellation</t>
        </is>
      </c>
      <c r="E55" s="9" t="inlineStr">
        <is>
          <t>no_show</t>
        </is>
      </c>
      <c r="F55" s="9" t="inlineStr">
        <is>
          <t>no</t>
        </is>
      </c>
      <c r="G55" s="9" t="inlineStr">
        <is>
          <t>high</t>
        </is>
      </c>
      <c r="H55" s="9" t="inlineStr">
        <is>
          <t>no</t>
        </is>
      </c>
    </row>
    <row r="56">
      <c r="A56" s="9" t="n">
        <v>55</v>
      </c>
      <c r="B56" s="58" t="n">
        <v>46311</v>
      </c>
      <c r="C56" s="9" t="n">
        <v>1</v>
      </c>
      <c r="D56" s="9" t="inlineStr">
        <is>
          <t>service_quality</t>
        </is>
      </c>
      <c r="E56" s="9" t="inlineStr">
        <is>
          <t>poor_skill</t>
        </is>
      </c>
      <c r="F56" s="9" t="inlineStr">
        <is>
          <t>yes</t>
        </is>
      </c>
      <c r="G56" s="9" t="inlineStr">
        <is>
          <t>high</t>
        </is>
      </c>
      <c r="H56" s="9" t="inlineStr">
        <is>
          <t>no</t>
        </is>
      </c>
    </row>
    <row r="57">
      <c r="A57" s="9" t="n">
        <v>56</v>
      </c>
      <c r="B57" s="58" t="n">
        <v>46311</v>
      </c>
      <c r="C57" s="9" t="n">
        <v>5</v>
      </c>
      <c r="D57" s="9" t="inlineStr">
        <is>
          <t>price_clarity</t>
        </is>
      </c>
      <c r="E57" s="9" t="inlineStr">
        <is>
          <t>price_mismatch</t>
        </is>
      </c>
      <c r="F57" s="9" t="inlineStr">
        <is>
          <t>no</t>
        </is>
      </c>
      <c r="G57" s="9" t="inlineStr">
        <is>
          <t>low</t>
        </is>
      </c>
      <c r="H57" s="9" t="inlineStr">
        <is>
          <t>no</t>
        </is>
      </c>
    </row>
    <row r="58">
      <c r="A58" s="9" t="n">
        <v>57</v>
      </c>
      <c r="B58" s="58" t="n">
        <v>46311</v>
      </c>
      <c r="C58" s="9" t="n">
        <v>2</v>
      </c>
      <c r="D58" s="9" t="inlineStr">
        <is>
          <t>product_fit</t>
        </is>
      </c>
      <c r="E58" s="9" t="inlineStr">
        <is>
          <t>product_quality</t>
        </is>
      </c>
      <c r="F58" s="9" t="inlineStr">
        <is>
          <t>yes</t>
        </is>
      </c>
      <c r="G58" s="9" t="inlineStr">
        <is>
          <t>medium</t>
        </is>
      </c>
      <c r="H58" s="9" t="inlineStr">
        <is>
          <t>no</t>
        </is>
      </c>
    </row>
    <row r="59">
      <c r="A59" s="9" t="n">
        <v>58</v>
      </c>
      <c r="B59" s="58" t="n">
        <v>46310</v>
      </c>
      <c r="C59" s="9" t="n">
        <v>1</v>
      </c>
      <c r="D59" s="9" t="inlineStr">
        <is>
          <t>partner_cancellation</t>
        </is>
      </c>
      <c r="E59" s="9" t="inlineStr">
        <is>
          <t>last_minute_cancel</t>
        </is>
      </c>
      <c r="F59" s="9" t="inlineStr">
        <is>
          <t>no</t>
        </is>
      </c>
      <c r="G59" s="9" t="inlineStr">
        <is>
          <t>medium</t>
        </is>
      </c>
      <c r="H59" s="9" t="inlineStr">
        <is>
          <t>no</t>
        </is>
      </c>
    </row>
    <row r="60">
      <c r="A60" s="9" t="n">
        <v>59</v>
      </c>
      <c r="B60" s="58" t="n">
        <v>46310</v>
      </c>
      <c r="C60" s="9" t="n">
        <v>2</v>
      </c>
      <c r="D60" s="9" t="inlineStr">
        <is>
          <t>payment_refund</t>
        </is>
      </c>
      <c r="E60" s="9" t="inlineStr">
        <is>
          <t>charged_not_served</t>
        </is>
      </c>
      <c r="F60" s="9" t="inlineStr">
        <is>
          <t>yes</t>
        </is>
      </c>
      <c r="G60" s="9" t="inlineStr">
        <is>
          <t>high</t>
        </is>
      </c>
      <c r="H60" s="9" t="inlineStr">
        <is>
          <t>no</t>
        </is>
      </c>
    </row>
    <row r="61">
      <c r="A61" s="9" t="n">
        <v>60</v>
      </c>
      <c r="B61" s="58" t="n">
        <v>46310</v>
      </c>
      <c r="C61" s="9" t="n">
        <v>5</v>
      </c>
      <c r="D61" s="9" t="inlineStr">
        <is>
          <t>praise</t>
        </is>
      </c>
      <c r="E61" s="9" t="inlineStr">
        <is>
          <t>praise_service</t>
        </is>
      </c>
      <c r="F61" s="9" t="inlineStr">
        <is>
          <t>no</t>
        </is>
      </c>
      <c r="G61" s="9" t="inlineStr">
        <is>
          <t>none</t>
        </is>
      </c>
      <c r="H61" s="9" t="inlineStr">
        <is>
          <t>no</t>
        </is>
      </c>
    </row>
    <row r="62">
      <c r="A62" s="9" t="n">
        <v>61</v>
      </c>
      <c r="B62" s="58" t="n">
        <v>46310</v>
      </c>
      <c r="C62" s="9" t="n">
        <v>5</v>
      </c>
      <c r="D62" s="9" t="inlineStr">
        <is>
          <t>praise</t>
        </is>
      </c>
      <c r="E62" s="9" t="inlineStr">
        <is>
          <t>praise_professional</t>
        </is>
      </c>
      <c r="F62" s="9" t="inlineStr">
        <is>
          <t>no</t>
        </is>
      </c>
      <c r="G62" s="9" t="inlineStr">
        <is>
          <t>none</t>
        </is>
      </c>
      <c r="H62" s="9" t="inlineStr">
        <is>
          <t>no</t>
        </is>
      </c>
    </row>
    <row r="63">
      <c r="A63" s="9" t="n">
        <v>62</v>
      </c>
      <c r="B63" s="58" t="n">
        <v>46310</v>
      </c>
      <c r="C63" s="9" t="n">
        <v>1</v>
      </c>
      <c r="D63" s="9" t="inlineStr">
        <is>
          <t>payment_refund</t>
        </is>
      </c>
      <c r="E63" s="9" t="inlineStr">
        <is>
          <t>charged_not_served</t>
        </is>
      </c>
      <c r="F63" s="9" t="inlineStr">
        <is>
          <t>yes</t>
        </is>
      </c>
      <c r="G63" s="9" t="inlineStr">
        <is>
          <t>high</t>
        </is>
      </c>
      <c r="H63" s="9" t="inlineStr">
        <is>
          <t>yes</t>
        </is>
      </c>
    </row>
    <row r="64">
      <c r="A64" s="9" t="n">
        <v>63</v>
      </c>
      <c r="B64" s="58" t="n">
        <v>46310</v>
      </c>
      <c r="C64" s="9" t="n">
        <v>3</v>
      </c>
      <c r="D64" s="9" t="inlineStr">
        <is>
          <t>price_clarity</t>
        </is>
      </c>
      <c r="E64" s="9" t="inlineStr">
        <is>
          <t>price_mismatch</t>
        </is>
      </c>
      <c r="F64" s="9" t="inlineStr">
        <is>
          <t>no</t>
        </is>
      </c>
      <c r="G64" s="9" t="inlineStr">
        <is>
          <t>low</t>
        </is>
      </c>
      <c r="H64" s="9" t="inlineStr">
        <is>
          <t>no</t>
        </is>
      </c>
    </row>
    <row r="65">
      <c r="A65" s="9" t="n">
        <v>64</v>
      </c>
      <c r="B65" s="58" t="n">
        <v>46310</v>
      </c>
      <c r="C65" s="9" t="n">
        <v>1</v>
      </c>
      <c r="D65" s="9" t="inlineStr">
        <is>
          <t>price_clarity</t>
        </is>
      </c>
      <c r="E65" s="9" t="inlineStr">
        <is>
          <t>price_mismatch</t>
        </is>
      </c>
      <c r="F65" s="9" t="inlineStr">
        <is>
          <t>no</t>
        </is>
      </c>
      <c r="G65" s="9" t="inlineStr">
        <is>
          <t>low</t>
        </is>
      </c>
      <c r="H65" s="9" t="inlineStr">
        <is>
          <t>no</t>
        </is>
      </c>
    </row>
    <row r="66">
      <c r="A66" s="9" t="n">
        <v>65</v>
      </c>
      <c r="B66" s="58" t="n">
        <v>46310</v>
      </c>
      <c r="C66" s="9" t="n">
        <v>4</v>
      </c>
      <c r="D66" s="9" t="inlineStr">
        <is>
          <t>price_clarity</t>
        </is>
      </c>
      <c r="E66" s="9" t="inlineStr">
        <is>
          <t>price_mismatch</t>
        </is>
      </c>
      <c r="F66" s="9" t="inlineStr">
        <is>
          <t>no</t>
        </is>
      </c>
      <c r="G66" s="9" t="inlineStr">
        <is>
          <t>low</t>
        </is>
      </c>
      <c r="H66" s="9" t="inlineStr">
        <is>
          <t>no</t>
        </is>
      </c>
    </row>
    <row r="67">
      <c r="A67" s="9" t="n">
        <v>66</v>
      </c>
      <c r="B67" s="58" t="n">
        <v>46310</v>
      </c>
      <c r="C67" s="9" t="n">
        <v>1</v>
      </c>
      <c r="D67" s="9" t="inlineStr">
        <is>
          <t>service_quality</t>
        </is>
      </c>
      <c r="E67" s="9" t="inlineStr">
        <is>
          <t>poor_skill</t>
        </is>
      </c>
      <c r="F67" s="9" t="inlineStr">
        <is>
          <t>yes</t>
        </is>
      </c>
      <c r="G67" s="9" t="inlineStr">
        <is>
          <t>high</t>
        </is>
      </c>
      <c r="H67" s="9" t="inlineStr">
        <is>
          <t>no</t>
        </is>
      </c>
    </row>
    <row r="68">
      <c r="A68" s="9" t="n">
        <v>67</v>
      </c>
      <c r="B68" s="58" t="n">
        <v>46310</v>
      </c>
      <c r="C68" s="9" t="n">
        <v>5</v>
      </c>
      <c r="D68" s="9" t="inlineStr">
        <is>
          <t>praise</t>
        </is>
      </c>
      <c r="E68" s="9" t="inlineStr">
        <is>
          <t>praise_professional</t>
        </is>
      </c>
      <c r="F68" s="9" t="inlineStr">
        <is>
          <t>no</t>
        </is>
      </c>
      <c r="G68" s="9" t="inlineStr">
        <is>
          <t>none</t>
        </is>
      </c>
      <c r="H68" s="9" t="inlineStr">
        <is>
          <t>no</t>
        </is>
      </c>
    </row>
    <row r="69">
      <c r="A69" s="9" t="n">
        <v>68</v>
      </c>
      <c r="B69" s="58" t="n">
        <v>46310</v>
      </c>
      <c r="C69" s="9" t="n">
        <v>1</v>
      </c>
      <c r="D69" s="9" t="inlineStr">
        <is>
          <t>payment_refund</t>
        </is>
      </c>
      <c r="E69" s="9" t="inlineStr">
        <is>
          <t>charged_not_served</t>
        </is>
      </c>
      <c r="F69" s="9" t="inlineStr">
        <is>
          <t>no</t>
        </is>
      </c>
      <c r="G69" s="9" t="inlineStr">
        <is>
          <t>high</t>
        </is>
      </c>
      <c r="H69" s="9" t="inlineStr">
        <is>
          <t>no</t>
        </is>
      </c>
    </row>
    <row r="70">
      <c r="A70" s="9" t="n">
        <v>69</v>
      </c>
      <c r="B70" s="58" t="n">
        <v>46310</v>
      </c>
      <c r="C70" s="9" t="n">
        <v>1</v>
      </c>
      <c r="D70" s="9" t="inlineStr">
        <is>
          <t>payment_refund</t>
        </is>
      </c>
      <c r="E70" s="9" t="inlineStr">
        <is>
          <t>charged_not_served</t>
        </is>
      </c>
      <c r="F70" s="9" t="inlineStr">
        <is>
          <t>no</t>
        </is>
      </c>
      <c r="G70" s="9" t="inlineStr">
        <is>
          <t>high</t>
        </is>
      </c>
      <c r="H70" s="9" t="inlineStr">
        <is>
          <t>no</t>
        </is>
      </c>
    </row>
    <row r="71">
      <c r="A71" s="9" t="n">
        <v>70</v>
      </c>
      <c r="B71" s="58" t="n">
        <v>46310</v>
      </c>
      <c r="C71" s="9" t="n">
        <v>1</v>
      </c>
      <c r="D71" s="9" t="inlineStr">
        <is>
          <t>partner_cancellation</t>
        </is>
      </c>
      <c r="E71" s="9" t="inlineStr">
        <is>
          <t>repeated_reschedule</t>
        </is>
      </c>
      <c r="F71" s="9" t="inlineStr">
        <is>
          <t>no</t>
        </is>
      </c>
      <c r="G71" s="9" t="inlineStr">
        <is>
          <t>medium</t>
        </is>
      </c>
      <c r="H71" s="9" t="inlineStr">
        <is>
          <t>no</t>
        </is>
      </c>
    </row>
    <row r="72">
      <c r="A72" s="9" t="n">
        <v>71</v>
      </c>
      <c r="B72" s="58" t="n">
        <v>46310</v>
      </c>
      <c r="C72" s="9" t="n">
        <v>5</v>
      </c>
      <c r="D72" s="9" t="inlineStr">
        <is>
          <t>praise</t>
        </is>
      </c>
      <c r="E72" s="9" t="inlineStr">
        <is>
          <t>praise_service</t>
        </is>
      </c>
      <c r="F72" s="9" t="inlineStr">
        <is>
          <t>no</t>
        </is>
      </c>
      <c r="G72" s="9" t="inlineStr">
        <is>
          <t>none</t>
        </is>
      </c>
      <c r="H72" s="9" t="inlineStr">
        <is>
          <t>no</t>
        </is>
      </c>
    </row>
    <row r="73">
      <c r="A73" s="9" t="n">
        <v>72</v>
      </c>
      <c r="B73" s="58" t="n">
        <v>46309</v>
      </c>
      <c r="C73" s="9" t="n">
        <v>5</v>
      </c>
      <c r="D73" s="9" t="inlineStr">
        <is>
          <t>praise</t>
        </is>
      </c>
      <c r="E73" s="9" t="inlineStr">
        <is>
          <t>praise_professional</t>
        </is>
      </c>
      <c r="F73" s="9" t="inlineStr">
        <is>
          <t>no</t>
        </is>
      </c>
      <c r="G73" s="9" t="inlineStr">
        <is>
          <t>none</t>
        </is>
      </c>
      <c r="H73" s="9" t="inlineStr">
        <is>
          <t>no</t>
        </is>
      </c>
    </row>
    <row r="74">
      <c r="A74" s="9" t="n">
        <v>73</v>
      </c>
      <c r="B74" s="58" t="n">
        <v>46309</v>
      </c>
      <c r="C74" s="9" t="n">
        <v>1</v>
      </c>
      <c r="D74" s="9" t="inlineStr">
        <is>
          <t>price_clarity</t>
        </is>
      </c>
      <c r="E74" s="9" t="inlineStr">
        <is>
          <t>offer_not_honoured</t>
        </is>
      </c>
      <c r="F74" s="9" t="inlineStr">
        <is>
          <t>no</t>
        </is>
      </c>
      <c r="G74" s="9" t="inlineStr">
        <is>
          <t>low</t>
        </is>
      </c>
      <c r="H74" s="9" t="inlineStr">
        <is>
          <t>no</t>
        </is>
      </c>
    </row>
    <row r="75">
      <c r="A75" s="9" t="n">
        <v>74</v>
      </c>
      <c r="B75" s="58" t="n">
        <v>46309</v>
      </c>
      <c r="C75" s="9" t="n">
        <v>3</v>
      </c>
      <c r="D75" s="9" t="inlineStr">
        <is>
          <t>partner_cancellation</t>
        </is>
      </c>
      <c r="E75" s="9" t="inlineStr">
        <is>
          <t>last_minute_cancel</t>
        </is>
      </c>
      <c r="F75" s="9" t="inlineStr">
        <is>
          <t>no</t>
        </is>
      </c>
      <c r="G75" s="9" t="inlineStr">
        <is>
          <t>medium</t>
        </is>
      </c>
      <c r="H75" s="9" t="inlineStr">
        <is>
          <t>no</t>
        </is>
      </c>
    </row>
    <row r="76">
      <c r="A76" s="9" t="n">
        <v>75</v>
      </c>
      <c r="B76" s="58" t="n">
        <v>46309</v>
      </c>
      <c r="C76" s="9" t="n">
        <v>1</v>
      </c>
      <c r="D76" s="9" t="inlineStr">
        <is>
          <t>payment_refund</t>
        </is>
      </c>
      <c r="E76" s="9" t="inlineStr">
        <is>
          <t>charged_not_served</t>
        </is>
      </c>
      <c r="F76" s="9" t="inlineStr">
        <is>
          <t>no</t>
        </is>
      </c>
      <c r="G76" s="9" t="inlineStr">
        <is>
          <t>high</t>
        </is>
      </c>
      <c r="H76" s="9" t="inlineStr">
        <is>
          <t>yes</t>
        </is>
      </c>
    </row>
    <row r="77">
      <c r="A77" s="9" t="n">
        <v>76</v>
      </c>
      <c r="B77" s="58" t="n">
        <v>46309</v>
      </c>
      <c r="C77" s="9" t="n">
        <v>4</v>
      </c>
      <c r="D77" s="9" t="inlineStr">
        <is>
          <t>partner_cancellation</t>
        </is>
      </c>
      <c r="E77" s="9" t="inlineStr">
        <is>
          <t>repeated_reschedule</t>
        </is>
      </c>
      <c r="F77" s="9" t="inlineStr">
        <is>
          <t>no</t>
        </is>
      </c>
      <c r="G77" s="9" t="inlineStr">
        <is>
          <t>low</t>
        </is>
      </c>
      <c r="H77" s="9" t="inlineStr">
        <is>
          <t>no</t>
        </is>
      </c>
    </row>
    <row r="78">
      <c r="A78" s="9" t="n">
        <v>77</v>
      </c>
      <c r="B78" s="58" t="n">
        <v>46309</v>
      </c>
      <c r="C78" s="9" t="n">
        <v>1</v>
      </c>
      <c r="D78" s="9" t="inlineStr">
        <is>
          <t>price_clarity</t>
        </is>
      </c>
      <c r="E78" s="9" t="inlineStr">
        <is>
          <t>offer_not_honoured</t>
        </is>
      </c>
      <c r="F78" s="9" t="inlineStr">
        <is>
          <t>no</t>
        </is>
      </c>
      <c r="G78" s="9" t="inlineStr">
        <is>
          <t>high</t>
        </is>
      </c>
      <c r="H78" s="9" t="inlineStr">
        <is>
          <t>no</t>
        </is>
      </c>
    </row>
    <row r="79">
      <c r="A79" s="9" t="n">
        <v>78</v>
      </c>
      <c r="B79" s="58" t="n">
        <v>46309</v>
      </c>
      <c r="C79" s="9" t="n">
        <v>5</v>
      </c>
      <c r="D79" s="9" t="inlineStr">
        <is>
          <t>price_clarity</t>
        </is>
      </c>
      <c r="E79" s="9" t="inlineStr">
        <is>
          <t>price_mismatch</t>
        </is>
      </c>
      <c r="F79" s="9" t="inlineStr">
        <is>
          <t>no</t>
        </is>
      </c>
      <c r="G79" s="9" t="inlineStr">
        <is>
          <t>low</t>
        </is>
      </c>
      <c r="H79" s="9" t="inlineStr">
        <is>
          <t>yes</t>
        </is>
      </c>
    </row>
    <row r="80">
      <c r="A80" s="9" t="n">
        <v>79</v>
      </c>
      <c r="B80" s="58" t="n">
        <v>46309</v>
      </c>
      <c r="C80" s="9" t="n">
        <v>1</v>
      </c>
      <c r="D80" s="9" t="inlineStr">
        <is>
          <t>app</t>
        </is>
      </c>
      <c r="E80" s="9" t="inlineStr">
        <is>
          <t>other_app</t>
        </is>
      </c>
      <c r="F80" s="9" t="inlineStr">
        <is>
          <t>no</t>
        </is>
      </c>
      <c r="G80" s="9" t="inlineStr">
        <is>
          <t>low</t>
        </is>
      </c>
      <c r="H80" s="9" t="inlineStr">
        <is>
          <t>no</t>
        </is>
      </c>
    </row>
    <row r="81">
      <c r="A81" s="9" t="n">
        <v>80</v>
      </c>
      <c r="B81" s="58" t="n">
        <v>46309</v>
      </c>
      <c r="C81" s="9" t="n">
        <v>1</v>
      </c>
      <c r="D81" s="9" t="inlineStr">
        <is>
          <t>partner_cancellation</t>
        </is>
      </c>
      <c r="E81" s="9" t="inlineStr">
        <is>
          <t>no_show</t>
        </is>
      </c>
      <c r="F81" s="9" t="inlineStr">
        <is>
          <t>yes</t>
        </is>
      </c>
      <c r="G81" s="9" t="inlineStr">
        <is>
          <t>medium</t>
        </is>
      </c>
      <c r="H81" s="9" t="inlineStr">
        <is>
          <t>no</t>
        </is>
      </c>
    </row>
    <row r="82">
      <c r="A82" s="9" t="n">
        <v>81</v>
      </c>
      <c r="B82" s="58" t="n">
        <v>46308</v>
      </c>
      <c r="C82" s="9" t="n">
        <v>5</v>
      </c>
      <c r="D82" s="9" t="inlineStr">
        <is>
          <t>praise</t>
        </is>
      </c>
      <c r="E82" s="9" t="inlineStr">
        <is>
          <t>praise_service</t>
        </is>
      </c>
      <c r="F82" s="9" t="inlineStr">
        <is>
          <t>no</t>
        </is>
      </c>
      <c r="G82" s="9" t="inlineStr">
        <is>
          <t>none</t>
        </is>
      </c>
      <c r="H82" s="9" t="inlineStr">
        <is>
          <t>no</t>
        </is>
      </c>
    </row>
    <row r="83">
      <c r="A83" s="9" t="n">
        <v>82</v>
      </c>
      <c r="B83" s="58" t="n">
        <v>46308</v>
      </c>
      <c r="C83" s="9" t="n">
        <v>5</v>
      </c>
      <c r="D83" s="9" t="inlineStr">
        <is>
          <t>praise</t>
        </is>
      </c>
      <c r="E83" s="9" t="inlineStr">
        <is>
          <t>praise_value</t>
        </is>
      </c>
      <c r="F83" s="9" t="inlineStr">
        <is>
          <t>no</t>
        </is>
      </c>
      <c r="G83" s="9" t="inlineStr">
        <is>
          <t>none</t>
        </is>
      </c>
      <c r="H83" s="9" t="inlineStr">
        <is>
          <t>no</t>
        </is>
      </c>
    </row>
    <row r="84">
      <c r="A84" s="9" t="n">
        <v>83</v>
      </c>
      <c r="B84" s="58" t="n">
        <v>46308</v>
      </c>
      <c r="C84" s="9" t="n">
        <v>3</v>
      </c>
      <c r="D84" s="9" t="inlineStr">
        <is>
          <t>price_clarity</t>
        </is>
      </c>
      <c r="E84" s="9" t="inlineStr">
        <is>
          <t>price_mismatch</t>
        </is>
      </c>
      <c r="F84" s="9" t="inlineStr">
        <is>
          <t>no</t>
        </is>
      </c>
      <c r="G84" s="9" t="inlineStr">
        <is>
          <t>low</t>
        </is>
      </c>
      <c r="H84" s="9" t="inlineStr">
        <is>
          <t>no</t>
        </is>
      </c>
    </row>
    <row r="85">
      <c r="A85" s="9" t="n">
        <v>84</v>
      </c>
      <c r="B85" s="58" t="n">
        <v>46308</v>
      </c>
      <c r="C85" s="9" t="n">
        <v>1</v>
      </c>
      <c r="D85" s="9" t="inlineStr">
        <is>
          <t>other</t>
        </is>
      </c>
      <c r="E85" s="9" t="inlineStr">
        <is>
          <t>other_issue</t>
        </is>
      </c>
      <c r="F85" s="9" t="inlineStr">
        <is>
          <t>no</t>
        </is>
      </c>
      <c r="G85" s="9" t="inlineStr">
        <is>
          <t>low</t>
        </is>
      </c>
      <c r="H85" s="9" t="inlineStr">
        <is>
          <t>no</t>
        </is>
      </c>
    </row>
    <row r="86">
      <c r="A86" s="9" t="n">
        <v>85</v>
      </c>
      <c r="B86" s="58" t="n">
        <v>46308</v>
      </c>
      <c r="C86" s="9" t="n">
        <v>2</v>
      </c>
      <c r="D86" s="9" t="inlineStr">
        <is>
          <t>price_clarity</t>
        </is>
      </c>
      <c r="E86" s="9" t="inlineStr">
        <is>
          <t>price_mismatch</t>
        </is>
      </c>
      <c r="F86" s="9" t="inlineStr">
        <is>
          <t>no</t>
        </is>
      </c>
      <c r="G86" s="9" t="inlineStr">
        <is>
          <t>medium</t>
        </is>
      </c>
      <c r="H86" s="9" t="inlineStr">
        <is>
          <t>no</t>
        </is>
      </c>
    </row>
    <row r="87">
      <c r="A87" s="9" t="n">
        <v>86</v>
      </c>
      <c r="B87" s="58" t="n">
        <v>46308</v>
      </c>
      <c r="C87" s="9" t="n">
        <v>1</v>
      </c>
      <c r="D87" s="9" t="inlineStr">
        <is>
          <t>payment_refund</t>
        </is>
      </c>
      <c r="E87" s="9" t="inlineStr">
        <is>
          <t>charged_not_served</t>
        </is>
      </c>
      <c r="F87" s="9" t="inlineStr">
        <is>
          <t>yes</t>
        </is>
      </c>
      <c r="G87" s="9" t="inlineStr">
        <is>
          <t>high</t>
        </is>
      </c>
      <c r="H87" s="9" t="inlineStr">
        <is>
          <t>yes</t>
        </is>
      </c>
    </row>
    <row r="88">
      <c r="A88" s="9" t="n">
        <v>87</v>
      </c>
      <c r="B88" s="58" t="n">
        <v>46308</v>
      </c>
      <c r="C88" s="9" t="n">
        <v>5</v>
      </c>
      <c r="D88" s="9" t="inlineStr">
        <is>
          <t>praise</t>
        </is>
      </c>
      <c r="E88" s="9" t="inlineStr">
        <is>
          <t>praise_professional</t>
        </is>
      </c>
      <c r="F88" s="9" t="inlineStr">
        <is>
          <t>no</t>
        </is>
      </c>
      <c r="G88" s="9" t="inlineStr">
        <is>
          <t>none</t>
        </is>
      </c>
      <c r="H88" s="9" t="inlineStr">
        <is>
          <t>no</t>
        </is>
      </c>
    </row>
    <row r="89">
      <c r="A89" s="9" t="n">
        <v>88</v>
      </c>
      <c r="B89" s="58" t="n">
        <v>46308</v>
      </c>
      <c r="C89" s="9" t="n">
        <v>5</v>
      </c>
      <c r="D89" s="9" t="inlineStr">
        <is>
          <t>praise</t>
        </is>
      </c>
      <c r="E89" s="9" t="inlineStr">
        <is>
          <t>praise_service</t>
        </is>
      </c>
      <c r="F89" s="9" t="inlineStr">
        <is>
          <t>no</t>
        </is>
      </c>
      <c r="G89" s="9" t="inlineStr">
        <is>
          <t>none</t>
        </is>
      </c>
      <c r="H89" s="9" t="inlineStr">
        <is>
          <t>no</t>
        </is>
      </c>
    </row>
    <row r="90">
      <c r="A90" s="9" t="n">
        <v>89</v>
      </c>
      <c r="B90" s="58" t="n">
        <v>46308</v>
      </c>
      <c r="C90" s="9" t="n">
        <v>3</v>
      </c>
      <c r="D90" s="9" t="inlineStr">
        <is>
          <t>price_clarity</t>
        </is>
      </c>
      <c r="E90" s="9" t="inlineStr">
        <is>
          <t>offer_not_honoured</t>
        </is>
      </c>
      <c r="F90" s="9" t="inlineStr">
        <is>
          <t>yes</t>
        </is>
      </c>
      <c r="G90" s="9" t="inlineStr">
        <is>
          <t>medium</t>
        </is>
      </c>
      <c r="H90" s="9" t="inlineStr">
        <is>
          <t>yes</t>
        </is>
      </c>
    </row>
    <row r="91">
      <c r="A91" s="9" t="n">
        <v>90</v>
      </c>
      <c r="B91" s="58" t="n">
        <v>46308</v>
      </c>
      <c r="C91" s="9" t="n">
        <v>5</v>
      </c>
      <c r="D91" s="9" t="inlineStr">
        <is>
          <t>praise</t>
        </is>
      </c>
      <c r="E91" s="9" t="inlineStr">
        <is>
          <t>praise_service</t>
        </is>
      </c>
      <c r="F91" s="9" t="inlineStr">
        <is>
          <t>no</t>
        </is>
      </c>
      <c r="G91" s="9" t="inlineStr">
        <is>
          <t>none</t>
        </is>
      </c>
      <c r="H91" s="9" t="inlineStr">
        <is>
          <t>no</t>
        </is>
      </c>
    </row>
    <row r="92">
      <c r="A92" s="9" t="n">
        <v>91</v>
      </c>
      <c r="B92" s="58" t="n">
        <v>46308</v>
      </c>
      <c r="C92" s="9" t="n">
        <v>1</v>
      </c>
      <c r="D92" s="9" t="inlineStr">
        <is>
          <t>payment_refund</t>
        </is>
      </c>
      <c r="E92" s="9" t="inlineStr">
        <is>
          <t>charged_not_served</t>
        </is>
      </c>
      <c r="F92" s="9" t="inlineStr">
        <is>
          <t>yes</t>
        </is>
      </c>
      <c r="G92" s="9" t="inlineStr">
        <is>
          <t>high</t>
        </is>
      </c>
      <c r="H92" s="9" t="inlineStr">
        <is>
          <t>no</t>
        </is>
      </c>
    </row>
    <row r="93">
      <c r="A93" s="9" t="n">
        <v>92</v>
      </c>
      <c r="B93" s="58" t="n">
        <v>46307</v>
      </c>
      <c r="C93" s="9" t="n">
        <v>1</v>
      </c>
      <c r="D93" s="9" t="inlineStr">
        <is>
          <t>service_quality</t>
        </is>
      </c>
      <c r="E93" s="9" t="inlineStr">
        <is>
          <t>safety_or_theft</t>
        </is>
      </c>
      <c r="F93" s="9" t="inlineStr">
        <is>
          <t>yes</t>
        </is>
      </c>
      <c r="G93" s="9" t="inlineStr">
        <is>
          <t>high</t>
        </is>
      </c>
      <c r="H93" s="9" t="inlineStr">
        <is>
          <t>no</t>
        </is>
      </c>
    </row>
    <row r="94">
      <c r="A94" s="9" t="n">
        <v>93</v>
      </c>
      <c r="B94" s="58" t="n">
        <v>46307</v>
      </c>
      <c r="C94" s="9" t="n">
        <v>1</v>
      </c>
      <c r="D94" s="9" t="inlineStr">
        <is>
          <t>service_quality</t>
        </is>
      </c>
      <c r="E94" s="9" t="inlineStr">
        <is>
          <t>safety_or_theft</t>
        </is>
      </c>
      <c r="F94" s="9" t="inlineStr">
        <is>
          <t>no</t>
        </is>
      </c>
      <c r="G94" s="9" t="inlineStr">
        <is>
          <t>high</t>
        </is>
      </c>
      <c r="H94" s="9" t="inlineStr">
        <is>
          <t>no</t>
        </is>
      </c>
    </row>
    <row r="95">
      <c r="A95" s="9" t="n">
        <v>94</v>
      </c>
      <c r="B95" s="58" t="n">
        <v>46307</v>
      </c>
      <c r="C95" s="9" t="n">
        <v>5</v>
      </c>
      <c r="D95" s="9" t="inlineStr">
        <is>
          <t>praise</t>
        </is>
      </c>
      <c r="E95" s="9" t="inlineStr">
        <is>
          <t>praise_service</t>
        </is>
      </c>
      <c r="F95" s="9" t="inlineStr">
        <is>
          <t>no</t>
        </is>
      </c>
      <c r="G95" s="9" t="inlineStr">
        <is>
          <t>none</t>
        </is>
      </c>
      <c r="H95" s="9" t="inlineStr">
        <is>
          <t>no</t>
        </is>
      </c>
    </row>
    <row r="96">
      <c r="A96" s="9" t="n">
        <v>95</v>
      </c>
      <c r="B96" s="58" t="n">
        <v>46307</v>
      </c>
      <c r="C96" s="9" t="n">
        <v>5</v>
      </c>
      <c r="D96" s="9" t="inlineStr">
        <is>
          <t>praise</t>
        </is>
      </c>
      <c r="E96" s="9" t="inlineStr">
        <is>
          <t>praise_professional</t>
        </is>
      </c>
      <c r="F96" s="9" t="inlineStr">
        <is>
          <t>no</t>
        </is>
      </c>
      <c r="G96" s="9" t="inlineStr">
        <is>
          <t>none</t>
        </is>
      </c>
      <c r="H96" s="9" t="inlineStr">
        <is>
          <t>no</t>
        </is>
      </c>
    </row>
    <row r="97">
      <c r="A97" s="9" t="n">
        <v>96</v>
      </c>
      <c r="B97" s="58" t="n">
        <v>46307</v>
      </c>
      <c r="C97" s="9" t="n">
        <v>1</v>
      </c>
      <c r="D97" s="9" t="inlineStr">
        <is>
          <t>app</t>
        </is>
      </c>
      <c r="E97" s="9" t="inlineStr">
        <is>
          <t>other_app</t>
        </is>
      </c>
      <c r="F97" s="9" t="inlineStr">
        <is>
          <t>no</t>
        </is>
      </c>
      <c r="G97" s="9" t="inlineStr">
        <is>
          <t>low</t>
        </is>
      </c>
      <c r="H97" s="9" t="inlineStr">
        <is>
          <t>no</t>
        </is>
      </c>
    </row>
    <row r="98">
      <c r="A98" s="9" t="n">
        <v>97</v>
      </c>
      <c r="B98" s="58" t="n">
        <v>46307</v>
      </c>
      <c r="C98" s="9" t="n">
        <v>5</v>
      </c>
      <c r="D98" s="9" t="inlineStr">
        <is>
          <t>praise</t>
        </is>
      </c>
      <c r="E98" s="9" t="inlineStr">
        <is>
          <t>praise_service</t>
        </is>
      </c>
      <c r="F98" s="9" t="inlineStr">
        <is>
          <t>no</t>
        </is>
      </c>
      <c r="G98" s="9" t="inlineStr">
        <is>
          <t>none</t>
        </is>
      </c>
      <c r="H98" s="9" t="inlineStr">
        <is>
          <t>no</t>
        </is>
      </c>
    </row>
    <row r="99">
      <c r="A99" s="9" t="n">
        <v>98</v>
      </c>
      <c r="B99" s="58" t="n">
        <v>46307</v>
      </c>
      <c r="C99" s="9" t="n">
        <v>5</v>
      </c>
      <c r="D99" s="9" t="inlineStr">
        <is>
          <t>price_clarity</t>
        </is>
      </c>
      <c r="E99" s="9" t="inlineStr">
        <is>
          <t>price_mismatch</t>
        </is>
      </c>
      <c r="F99" s="9" t="inlineStr">
        <is>
          <t>no</t>
        </is>
      </c>
      <c r="G99" s="9" t="inlineStr">
        <is>
          <t>low</t>
        </is>
      </c>
      <c r="H99" s="9" t="inlineStr">
        <is>
          <t>no</t>
        </is>
      </c>
    </row>
    <row r="100">
      <c r="A100" s="9" t="n">
        <v>99</v>
      </c>
      <c r="B100" s="58" t="n">
        <v>46307</v>
      </c>
      <c r="C100" s="9" t="n">
        <v>1</v>
      </c>
      <c r="D100" s="9" t="inlineStr">
        <is>
          <t>service_quality</t>
        </is>
      </c>
      <c r="E100" s="9" t="inlineStr">
        <is>
          <t>poor_skill</t>
        </is>
      </c>
      <c r="F100" s="9" t="inlineStr">
        <is>
          <t>no</t>
        </is>
      </c>
      <c r="G100" s="9" t="inlineStr">
        <is>
          <t>medium</t>
        </is>
      </c>
      <c r="H100" s="9" t="inlineStr">
        <is>
          <t>no</t>
        </is>
      </c>
    </row>
    <row r="101">
      <c r="A101" s="9" t="n">
        <v>100</v>
      </c>
      <c r="B101" s="58" t="n">
        <v>46307</v>
      </c>
      <c r="C101" s="9" t="n">
        <v>5</v>
      </c>
      <c r="D101" s="9" t="inlineStr">
        <is>
          <t>praise</t>
        </is>
      </c>
      <c r="E101" s="9" t="inlineStr">
        <is>
          <t>praise_service</t>
        </is>
      </c>
      <c r="F101" s="9" t="inlineStr">
        <is>
          <t>no</t>
        </is>
      </c>
      <c r="G101" s="9" t="inlineStr">
        <is>
          <t>none</t>
        </is>
      </c>
      <c r="H101" s="9" t="inlineStr">
        <is>
          <t>no</t>
        </is>
      </c>
    </row>
    <row r="102">
      <c r="A102" s="9" t="n">
        <v>101</v>
      </c>
      <c r="B102" s="58" t="n">
        <v>46307</v>
      </c>
      <c r="C102" s="9" t="n">
        <v>5</v>
      </c>
      <c r="D102" s="9" t="inlineStr">
        <is>
          <t>praise</t>
        </is>
      </c>
      <c r="E102" s="9" t="inlineStr">
        <is>
          <t>praise_service</t>
        </is>
      </c>
      <c r="F102" s="9" t="inlineStr">
        <is>
          <t>no</t>
        </is>
      </c>
      <c r="G102" s="9" t="inlineStr">
        <is>
          <t>none</t>
        </is>
      </c>
      <c r="H102" s="9" t="inlineStr">
        <is>
          <t>no</t>
        </is>
      </c>
    </row>
    <row r="103">
      <c r="A103" s="9" t="n">
        <v>102</v>
      </c>
      <c r="B103" s="58" t="n">
        <v>46306</v>
      </c>
      <c r="C103" s="9" t="n">
        <v>5</v>
      </c>
      <c r="D103" s="9" t="inlineStr">
        <is>
          <t>praise</t>
        </is>
      </c>
      <c r="E103" s="9" t="inlineStr">
        <is>
          <t>praise_service</t>
        </is>
      </c>
      <c r="F103" s="9" t="inlineStr">
        <is>
          <t>no</t>
        </is>
      </c>
      <c r="G103" s="9" t="inlineStr">
        <is>
          <t>none</t>
        </is>
      </c>
      <c r="H103" s="9" t="inlineStr">
        <is>
          <t>no</t>
        </is>
      </c>
    </row>
    <row r="104">
      <c r="A104" s="9" t="n">
        <v>103</v>
      </c>
      <c r="B104" s="58" t="n">
        <v>46306</v>
      </c>
      <c r="C104" s="9" t="n">
        <v>5</v>
      </c>
      <c r="D104" s="9" t="inlineStr">
        <is>
          <t>praise</t>
        </is>
      </c>
      <c r="E104" s="9" t="inlineStr">
        <is>
          <t>praise_service</t>
        </is>
      </c>
      <c r="F104" s="9" t="inlineStr">
        <is>
          <t>no</t>
        </is>
      </c>
      <c r="G104" s="9" t="inlineStr">
        <is>
          <t>none</t>
        </is>
      </c>
      <c r="H104" s="9" t="inlineStr">
        <is>
          <t>no</t>
        </is>
      </c>
    </row>
    <row r="105">
      <c r="A105" s="9" t="n">
        <v>104</v>
      </c>
      <c r="B105" s="58" t="n">
        <v>46306</v>
      </c>
      <c r="C105" s="9" t="n">
        <v>4</v>
      </c>
      <c r="D105" s="9" t="inlineStr">
        <is>
          <t>other</t>
        </is>
      </c>
      <c r="E105" s="9" t="inlineStr">
        <is>
          <t>other_issue</t>
        </is>
      </c>
      <c r="F105" s="9" t="inlineStr">
        <is>
          <t>no</t>
        </is>
      </c>
      <c r="G105" s="9" t="inlineStr">
        <is>
          <t>low</t>
        </is>
      </c>
      <c r="H105" s="9" t="inlineStr">
        <is>
          <t>no</t>
        </is>
      </c>
    </row>
    <row r="106">
      <c r="A106" s="9" t="n">
        <v>105</v>
      </c>
      <c r="B106" s="58" t="n">
        <v>46306</v>
      </c>
      <c r="C106" s="9" t="n">
        <v>5</v>
      </c>
      <c r="D106" s="9" t="inlineStr">
        <is>
          <t>praise</t>
        </is>
      </c>
      <c r="E106" s="9" t="inlineStr">
        <is>
          <t>praise_value</t>
        </is>
      </c>
      <c r="F106" s="9" t="inlineStr">
        <is>
          <t>no</t>
        </is>
      </c>
      <c r="G106" s="9" t="inlineStr">
        <is>
          <t>none</t>
        </is>
      </c>
      <c r="H106" s="9" t="inlineStr">
        <is>
          <t>no</t>
        </is>
      </c>
    </row>
    <row r="107">
      <c r="A107" s="9" t="n">
        <v>106</v>
      </c>
      <c r="B107" s="58" t="n">
        <v>46306</v>
      </c>
      <c r="C107" s="9" t="n">
        <v>1</v>
      </c>
      <c r="D107" s="9" t="inlineStr">
        <is>
          <t>partner_cancellation</t>
        </is>
      </c>
      <c r="E107" s="9" t="inlineStr">
        <is>
          <t>last_minute_cancel</t>
        </is>
      </c>
      <c r="F107" s="9" t="inlineStr">
        <is>
          <t>no</t>
        </is>
      </c>
      <c r="G107" s="9" t="inlineStr">
        <is>
          <t>medium</t>
        </is>
      </c>
      <c r="H107" s="9" t="inlineStr">
        <is>
          <t>no</t>
        </is>
      </c>
    </row>
    <row r="108">
      <c r="A108" s="9" t="n">
        <v>107</v>
      </c>
      <c r="B108" s="58" t="n">
        <v>46306</v>
      </c>
      <c r="C108" s="9" t="n">
        <v>1</v>
      </c>
      <c r="D108" s="9" t="inlineStr">
        <is>
          <t>service_quality</t>
        </is>
      </c>
      <c r="E108" s="9" t="inlineStr">
        <is>
          <t>poor_skill</t>
        </is>
      </c>
      <c r="F108" s="9" t="inlineStr">
        <is>
          <t>yes</t>
        </is>
      </c>
      <c r="G108" s="9" t="inlineStr">
        <is>
          <t>medium</t>
        </is>
      </c>
      <c r="H108" s="9" t="inlineStr">
        <is>
          <t>yes</t>
        </is>
      </c>
    </row>
    <row r="109">
      <c r="A109" s="9" t="n">
        <v>108</v>
      </c>
      <c r="B109" s="58" t="n">
        <v>46306</v>
      </c>
      <c r="C109" s="9" t="n">
        <v>5</v>
      </c>
      <c r="D109" s="9" t="inlineStr">
        <is>
          <t>praise</t>
        </is>
      </c>
      <c r="E109" s="9" t="inlineStr">
        <is>
          <t>praise_professional</t>
        </is>
      </c>
      <c r="F109" s="9" t="inlineStr">
        <is>
          <t>no</t>
        </is>
      </c>
      <c r="G109" s="9" t="inlineStr">
        <is>
          <t>none</t>
        </is>
      </c>
      <c r="H109" s="9" t="inlineStr">
        <is>
          <t>no</t>
        </is>
      </c>
    </row>
    <row r="110">
      <c r="A110" s="9" t="n">
        <v>109</v>
      </c>
      <c r="B110" s="58" t="n">
        <v>46306</v>
      </c>
      <c r="C110" s="9" t="n">
        <v>1</v>
      </c>
      <c r="D110" s="9" t="inlineStr">
        <is>
          <t>service_quality</t>
        </is>
      </c>
      <c r="E110" s="9" t="inlineStr">
        <is>
          <t>rushed_or_incomplete</t>
        </is>
      </c>
      <c r="F110" s="9" t="inlineStr">
        <is>
          <t>no</t>
        </is>
      </c>
      <c r="G110" s="9" t="inlineStr">
        <is>
          <t>medium</t>
        </is>
      </c>
      <c r="H110" s="9" t="inlineStr">
        <is>
          <t>no</t>
        </is>
      </c>
    </row>
    <row r="111">
      <c r="A111" s="9" t="n">
        <v>110</v>
      </c>
      <c r="B111" s="58" t="n">
        <v>46306</v>
      </c>
      <c r="C111" s="9" t="n">
        <v>5</v>
      </c>
      <c r="D111" s="9" t="inlineStr">
        <is>
          <t>praise</t>
        </is>
      </c>
      <c r="E111" s="9" t="inlineStr">
        <is>
          <t>praise_service</t>
        </is>
      </c>
      <c r="F111" s="9" t="inlineStr">
        <is>
          <t>no</t>
        </is>
      </c>
      <c r="G111" s="9" t="inlineStr">
        <is>
          <t>none</t>
        </is>
      </c>
      <c r="H111" s="9" t="inlineStr">
        <is>
          <t>no</t>
        </is>
      </c>
    </row>
    <row r="112">
      <c r="A112" s="9" t="n">
        <v>111</v>
      </c>
      <c r="B112" s="58" t="n">
        <v>46306</v>
      </c>
      <c r="C112" s="9" t="n">
        <v>1</v>
      </c>
      <c r="D112" s="9" t="inlineStr">
        <is>
          <t>partner_cancellation</t>
        </is>
      </c>
      <c r="E112" s="9" t="inlineStr">
        <is>
          <t>last_minute_cancel</t>
        </is>
      </c>
      <c r="F112" s="9" t="inlineStr">
        <is>
          <t>yes</t>
        </is>
      </c>
      <c r="G112" s="9" t="inlineStr">
        <is>
          <t>high</t>
        </is>
      </c>
      <c r="H112" s="9" t="inlineStr">
        <is>
          <t>no</t>
        </is>
      </c>
    </row>
    <row r="113">
      <c r="A113" s="9" t="n">
        <v>112</v>
      </c>
      <c r="B113" s="58" t="n">
        <v>46306</v>
      </c>
      <c r="C113" s="9" t="n">
        <v>5</v>
      </c>
      <c r="D113" s="9" t="inlineStr">
        <is>
          <t>praise</t>
        </is>
      </c>
      <c r="E113" s="9" t="inlineStr">
        <is>
          <t>praise_professional</t>
        </is>
      </c>
      <c r="F113" s="9" t="inlineStr">
        <is>
          <t>no</t>
        </is>
      </c>
      <c r="G113" s="9" t="inlineStr">
        <is>
          <t>none</t>
        </is>
      </c>
      <c r="H113" s="9" t="inlineStr">
        <is>
          <t>no</t>
        </is>
      </c>
    </row>
    <row r="114">
      <c r="A114" s="9" t="n">
        <v>113</v>
      </c>
      <c r="B114" s="58" t="n">
        <v>46306</v>
      </c>
      <c r="C114" s="9" t="n">
        <v>1</v>
      </c>
      <c r="D114" s="9" t="inlineStr">
        <is>
          <t>service_quality</t>
        </is>
      </c>
      <c r="E114" s="9" t="inlineStr">
        <is>
          <t>poor_skill</t>
        </is>
      </c>
      <c r="F114" s="9" t="inlineStr">
        <is>
          <t>yes</t>
        </is>
      </c>
      <c r="G114" s="9" t="inlineStr">
        <is>
          <t>medium</t>
        </is>
      </c>
      <c r="H114" s="9" t="inlineStr">
        <is>
          <t>no</t>
        </is>
      </c>
    </row>
    <row r="115">
      <c r="A115" s="9" t="n">
        <v>114</v>
      </c>
      <c r="B115" s="58" t="n">
        <v>46306</v>
      </c>
      <c r="C115" s="9" t="n">
        <v>1</v>
      </c>
      <c r="D115" s="9" t="inlineStr">
        <is>
          <t>partner_cancellation</t>
        </is>
      </c>
      <c r="E115" s="9" t="inlineStr">
        <is>
          <t>last_minute_cancel</t>
        </is>
      </c>
      <c r="F115" s="9" t="inlineStr">
        <is>
          <t>no</t>
        </is>
      </c>
      <c r="G115" s="9" t="inlineStr">
        <is>
          <t>medium</t>
        </is>
      </c>
      <c r="H115" s="9" t="inlineStr">
        <is>
          <t>no</t>
        </is>
      </c>
    </row>
    <row r="116">
      <c r="A116" s="9" t="n">
        <v>115</v>
      </c>
      <c r="B116" s="58" t="n">
        <v>46306</v>
      </c>
      <c r="C116" s="9" t="n">
        <v>5</v>
      </c>
      <c r="D116" s="9" t="inlineStr">
        <is>
          <t>praise</t>
        </is>
      </c>
      <c r="E116" s="9" t="inlineStr">
        <is>
          <t>praise_professional</t>
        </is>
      </c>
      <c r="F116" s="9" t="inlineStr">
        <is>
          <t>no</t>
        </is>
      </c>
      <c r="G116" s="9" t="inlineStr">
        <is>
          <t>none</t>
        </is>
      </c>
      <c r="H116" s="9" t="inlineStr">
        <is>
          <t>no</t>
        </is>
      </c>
    </row>
    <row r="117">
      <c r="A117" s="9" t="n">
        <v>116</v>
      </c>
      <c r="B117" s="58" t="n">
        <v>46306</v>
      </c>
      <c r="C117" s="9" t="n">
        <v>5</v>
      </c>
      <c r="D117" s="9" t="inlineStr">
        <is>
          <t>praise</t>
        </is>
      </c>
      <c r="E117" s="9" t="inlineStr">
        <is>
          <t>praise_professional</t>
        </is>
      </c>
      <c r="F117" s="9" t="inlineStr">
        <is>
          <t>no</t>
        </is>
      </c>
      <c r="G117" s="9" t="inlineStr">
        <is>
          <t>none</t>
        </is>
      </c>
      <c r="H117" s="9" t="inlineStr">
        <is>
          <t>no</t>
        </is>
      </c>
    </row>
    <row r="118">
      <c r="A118" s="9" t="n">
        <v>117</v>
      </c>
      <c r="B118" s="58" t="n">
        <v>46306</v>
      </c>
      <c r="C118" s="9" t="n">
        <v>5</v>
      </c>
      <c r="D118" s="9" t="inlineStr">
        <is>
          <t>praise</t>
        </is>
      </c>
      <c r="E118" s="9" t="inlineStr">
        <is>
          <t>praise_professional</t>
        </is>
      </c>
      <c r="F118" s="9" t="inlineStr">
        <is>
          <t>no</t>
        </is>
      </c>
      <c r="G118" s="9" t="inlineStr">
        <is>
          <t>none</t>
        </is>
      </c>
      <c r="H118" s="9" t="inlineStr">
        <is>
          <t>no</t>
        </is>
      </c>
    </row>
    <row r="119">
      <c r="A119" s="9" t="n">
        <v>118</v>
      </c>
      <c r="B119" s="58" t="n">
        <v>46306</v>
      </c>
      <c r="C119" s="9" t="n">
        <v>5</v>
      </c>
      <c r="D119" s="9" t="inlineStr">
        <is>
          <t>praise</t>
        </is>
      </c>
      <c r="E119" s="9" t="inlineStr">
        <is>
          <t>praise_service</t>
        </is>
      </c>
      <c r="F119" s="9" t="inlineStr">
        <is>
          <t>no</t>
        </is>
      </c>
      <c r="G119" s="9" t="inlineStr">
        <is>
          <t>none</t>
        </is>
      </c>
      <c r="H119" s="9" t="inlineStr">
        <is>
          <t>no</t>
        </is>
      </c>
    </row>
    <row r="120">
      <c r="A120" s="9" t="n">
        <v>119</v>
      </c>
      <c r="B120" s="58" t="n">
        <v>46306</v>
      </c>
      <c r="C120" s="9" t="n">
        <v>1</v>
      </c>
      <c r="D120" s="9" t="inlineStr">
        <is>
          <t>payment_refund</t>
        </is>
      </c>
      <c r="E120" s="9" t="inlineStr">
        <is>
          <t>charged_not_served</t>
        </is>
      </c>
      <c r="F120" s="9" t="inlineStr">
        <is>
          <t>yes</t>
        </is>
      </c>
      <c r="G120" s="9" t="inlineStr">
        <is>
          <t>high</t>
        </is>
      </c>
      <c r="H120" s="9" t="inlineStr">
        <is>
          <t>no</t>
        </is>
      </c>
    </row>
    <row r="121">
      <c r="A121" s="9" t="n">
        <v>120</v>
      </c>
      <c r="B121" s="58" t="n">
        <v>46306</v>
      </c>
      <c r="C121" s="9" t="n">
        <v>2</v>
      </c>
      <c r="D121" s="9" t="inlineStr">
        <is>
          <t>price_clarity</t>
        </is>
      </c>
      <c r="E121" s="9" t="inlineStr">
        <is>
          <t>hidden_charges</t>
        </is>
      </c>
      <c r="F121" s="9" t="inlineStr">
        <is>
          <t>no</t>
        </is>
      </c>
      <c r="G121" s="9" t="inlineStr">
        <is>
          <t>low</t>
        </is>
      </c>
      <c r="H121" s="9" t="inlineStr">
        <is>
          <t>no</t>
        </is>
      </c>
    </row>
    <row r="122">
      <c r="A122" s="9" t="n">
        <v>121</v>
      </c>
      <c r="B122" s="58" t="n">
        <v>46305</v>
      </c>
      <c r="C122" s="9" t="n">
        <v>1</v>
      </c>
      <c r="D122" s="9" t="inlineStr">
        <is>
          <t>service_quality</t>
        </is>
      </c>
      <c r="E122" s="9" t="inlineStr">
        <is>
          <t>rushed_or_incomplete</t>
        </is>
      </c>
      <c r="F122" s="9" t="inlineStr">
        <is>
          <t>no</t>
        </is>
      </c>
      <c r="G122" s="9" t="inlineStr">
        <is>
          <t>medium</t>
        </is>
      </c>
      <c r="H122" s="9" t="inlineStr">
        <is>
          <t>no</t>
        </is>
      </c>
    </row>
    <row r="123">
      <c r="A123" s="9" t="n">
        <v>122</v>
      </c>
      <c r="B123" s="58" t="n">
        <v>46305</v>
      </c>
      <c r="C123" s="9" t="n">
        <v>1</v>
      </c>
      <c r="D123" s="9" t="inlineStr">
        <is>
          <t>partner_cancellation</t>
        </is>
      </c>
      <c r="E123" s="9" t="inlineStr">
        <is>
          <t>last_minute_cancel</t>
        </is>
      </c>
      <c r="F123" s="9" t="inlineStr">
        <is>
          <t>no</t>
        </is>
      </c>
      <c r="G123" s="9" t="inlineStr">
        <is>
          <t>medium</t>
        </is>
      </c>
      <c r="H123" s="9" t="inlineStr">
        <is>
          <t>yes</t>
        </is>
      </c>
    </row>
    <row r="124">
      <c r="A124" s="9" t="n">
        <v>123</v>
      </c>
      <c r="B124" s="58" t="n">
        <v>46305</v>
      </c>
      <c r="C124" s="9" t="n">
        <v>5</v>
      </c>
      <c r="D124" s="9" t="inlineStr">
        <is>
          <t>praise</t>
        </is>
      </c>
      <c r="E124" s="9" t="inlineStr">
        <is>
          <t>praise_professional</t>
        </is>
      </c>
      <c r="F124" s="9" t="inlineStr">
        <is>
          <t>no</t>
        </is>
      </c>
      <c r="G124" s="9" t="inlineStr">
        <is>
          <t>none</t>
        </is>
      </c>
      <c r="H124" s="9" t="inlineStr">
        <is>
          <t>no</t>
        </is>
      </c>
    </row>
    <row r="125">
      <c r="A125" s="9" t="n">
        <v>124</v>
      </c>
      <c r="B125" s="58" t="n">
        <v>46305</v>
      </c>
      <c r="C125" s="9" t="n">
        <v>5</v>
      </c>
      <c r="D125" s="9" t="inlineStr">
        <is>
          <t>praise</t>
        </is>
      </c>
      <c r="E125" s="9" t="inlineStr">
        <is>
          <t>praise_service</t>
        </is>
      </c>
      <c r="F125" s="9" t="inlineStr">
        <is>
          <t>no</t>
        </is>
      </c>
      <c r="G125" s="9" t="inlineStr">
        <is>
          <t>none</t>
        </is>
      </c>
      <c r="H125" s="9" t="inlineStr">
        <is>
          <t>no</t>
        </is>
      </c>
    </row>
    <row r="126">
      <c r="A126" s="9" t="n">
        <v>125</v>
      </c>
      <c r="B126" s="58" t="n">
        <v>46305</v>
      </c>
      <c r="C126" s="9" t="n">
        <v>2</v>
      </c>
      <c r="D126" s="9" t="inlineStr">
        <is>
          <t>partner_cancellation</t>
        </is>
      </c>
      <c r="E126" s="9" t="inlineStr">
        <is>
          <t>last_minute_cancel</t>
        </is>
      </c>
      <c r="F126" s="9" t="inlineStr">
        <is>
          <t>no</t>
        </is>
      </c>
      <c r="G126" s="9" t="inlineStr">
        <is>
          <t>medium</t>
        </is>
      </c>
      <c r="H126" s="9" t="inlineStr">
        <is>
          <t>no</t>
        </is>
      </c>
    </row>
    <row r="127">
      <c r="A127" s="9" t="n">
        <v>126</v>
      </c>
      <c r="B127" s="58" t="n">
        <v>46305</v>
      </c>
      <c r="C127" s="9" t="n">
        <v>5</v>
      </c>
      <c r="D127" s="9" t="inlineStr">
        <is>
          <t>praise</t>
        </is>
      </c>
      <c r="E127" s="9" t="inlineStr">
        <is>
          <t>praise_service</t>
        </is>
      </c>
      <c r="F127" s="9" t="inlineStr">
        <is>
          <t>no</t>
        </is>
      </c>
      <c r="G127" s="9" t="inlineStr">
        <is>
          <t>none</t>
        </is>
      </c>
      <c r="H127" s="9" t="inlineStr">
        <is>
          <t>no</t>
        </is>
      </c>
    </row>
    <row r="128">
      <c r="A128" s="9" t="n">
        <v>127</v>
      </c>
      <c r="B128" s="58" t="n">
        <v>46305</v>
      </c>
      <c r="C128" s="9" t="n">
        <v>1</v>
      </c>
      <c r="D128" s="9" t="inlineStr">
        <is>
          <t>delay</t>
        </is>
      </c>
      <c r="E128" s="9" t="inlineStr">
        <is>
          <t>late_arrival</t>
        </is>
      </c>
      <c r="F128" s="9" t="inlineStr">
        <is>
          <t>yes</t>
        </is>
      </c>
      <c r="G128" s="9" t="inlineStr">
        <is>
          <t>medium</t>
        </is>
      </c>
      <c r="H128" s="9" t="inlineStr">
        <is>
          <t>no</t>
        </is>
      </c>
    </row>
    <row r="129">
      <c r="A129" s="9" t="n">
        <v>128</v>
      </c>
      <c r="B129" s="58" t="n">
        <v>46305</v>
      </c>
      <c r="C129" s="9" t="n">
        <v>5</v>
      </c>
      <c r="D129" s="9" t="inlineStr">
        <is>
          <t>praise</t>
        </is>
      </c>
      <c r="E129" s="9" t="inlineStr">
        <is>
          <t>praise_professional</t>
        </is>
      </c>
      <c r="F129" s="9" t="inlineStr">
        <is>
          <t>no</t>
        </is>
      </c>
      <c r="G129" s="9" t="inlineStr">
        <is>
          <t>none</t>
        </is>
      </c>
      <c r="H129" s="9" t="inlineStr">
        <is>
          <t>no</t>
        </is>
      </c>
    </row>
    <row r="130">
      <c r="A130" s="9" t="n">
        <v>129</v>
      </c>
      <c r="B130" s="58" t="n">
        <v>46305</v>
      </c>
      <c r="C130" s="9" t="n">
        <v>5</v>
      </c>
      <c r="D130" s="9" t="inlineStr">
        <is>
          <t>praise</t>
        </is>
      </c>
      <c r="E130" s="9" t="inlineStr">
        <is>
          <t>praise_service</t>
        </is>
      </c>
      <c r="F130" s="9" t="inlineStr">
        <is>
          <t>no</t>
        </is>
      </c>
      <c r="G130" s="9" t="inlineStr">
        <is>
          <t>none</t>
        </is>
      </c>
      <c r="H130" s="9" t="inlineStr">
        <is>
          <t>no</t>
        </is>
      </c>
    </row>
    <row r="131">
      <c r="A131" s="9" t="n">
        <v>130</v>
      </c>
      <c r="B131" s="58" t="n">
        <v>46305</v>
      </c>
      <c r="C131" s="9" t="n">
        <v>5</v>
      </c>
      <c r="D131" s="9" t="inlineStr">
        <is>
          <t>praise</t>
        </is>
      </c>
      <c r="E131" s="9" t="inlineStr">
        <is>
          <t>praise_service</t>
        </is>
      </c>
      <c r="F131" s="9" t="inlineStr">
        <is>
          <t>no</t>
        </is>
      </c>
      <c r="G131" s="9" t="inlineStr">
        <is>
          <t>none</t>
        </is>
      </c>
      <c r="H131" s="9" t="inlineStr">
        <is>
          <t>no</t>
        </is>
      </c>
    </row>
    <row r="132">
      <c r="A132" s="9" t="n">
        <v>131</v>
      </c>
      <c r="B132" s="58" t="n">
        <v>46305</v>
      </c>
      <c r="C132" s="9" t="n">
        <v>3</v>
      </c>
      <c r="D132" s="9" t="inlineStr">
        <is>
          <t>partner_cancellation</t>
        </is>
      </c>
      <c r="E132" s="9" t="inlineStr">
        <is>
          <t>repeated_reschedule</t>
        </is>
      </c>
      <c r="F132" s="9" t="inlineStr">
        <is>
          <t>no</t>
        </is>
      </c>
      <c r="G132" s="9" t="inlineStr">
        <is>
          <t>medium</t>
        </is>
      </c>
      <c r="H132" s="9" t="inlineStr">
        <is>
          <t>no</t>
        </is>
      </c>
    </row>
    <row r="133">
      <c r="A133" s="9" t="n">
        <v>132</v>
      </c>
      <c r="B133" s="58" t="n">
        <v>46305</v>
      </c>
      <c r="C133" s="9" t="n">
        <v>2</v>
      </c>
      <c r="D133" s="9" t="inlineStr">
        <is>
          <t>price_clarity</t>
        </is>
      </c>
      <c r="E133" s="9" t="inlineStr">
        <is>
          <t>price_mismatch</t>
        </is>
      </c>
      <c r="F133" s="9" t="inlineStr">
        <is>
          <t>no</t>
        </is>
      </c>
      <c r="G133" s="9" t="inlineStr">
        <is>
          <t>low</t>
        </is>
      </c>
      <c r="H133" s="9" t="inlineStr">
        <is>
          <t>no</t>
        </is>
      </c>
    </row>
    <row r="134">
      <c r="A134" s="9" t="n">
        <v>133</v>
      </c>
      <c r="B134" s="58" t="n">
        <v>46305</v>
      </c>
      <c r="C134" s="9" t="n">
        <v>1</v>
      </c>
      <c r="D134" s="9" t="inlineStr">
        <is>
          <t>price_clarity</t>
        </is>
      </c>
      <c r="E134" s="9" t="inlineStr">
        <is>
          <t>hidden_charges</t>
        </is>
      </c>
      <c r="F134" s="9" t="inlineStr">
        <is>
          <t>no</t>
        </is>
      </c>
      <c r="G134" s="9" t="inlineStr">
        <is>
          <t>low</t>
        </is>
      </c>
      <c r="H134" s="9" t="inlineStr">
        <is>
          <t>no</t>
        </is>
      </c>
    </row>
    <row r="135">
      <c r="A135" s="9" t="n">
        <v>134</v>
      </c>
      <c r="B135" s="58" t="n">
        <v>46305</v>
      </c>
      <c r="C135" s="9" t="n">
        <v>5</v>
      </c>
      <c r="D135" s="9" t="inlineStr">
        <is>
          <t>praise</t>
        </is>
      </c>
      <c r="E135" s="9" t="inlineStr">
        <is>
          <t>praise_service</t>
        </is>
      </c>
      <c r="F135" s="9" t="inlineStr">
        <is>
          <t>no</t>
        </is>
      </c>
      <c r="G135" s="9" t="inlineStr">
        <is>
          <t>none</t>
        </is>
      </c>
      <c r="H135" s="9" t="inlineStr">
        <is>
          <t>no</t>
        </is>
      </c>
    </row>
    <row r="136">
      <c r="A136" s="9" t="n">
        <v>135</v>
      </c>
      <c r="B136" s="58" t="n">
        <v>46305</v>
      </c>
      <c r="C136" s="9" t="n">
        <v>3</v>
      </c>
      <c r="D136" s="9" t="inlineStr">
        <is>
          <t>other</t>
        </is>
      </c>
      <c r="E136" s="9" t="inlineStr">
        <is>
          <t>other_issue</t>
        </is>
      </c>
      <c r="F136" s="9" t="inlineStr">
        <is>
          <t>no</t>
        </is>
      </c>
      <c r="G136" s="9" t="inlineStr">
        <is>
          <t>low</t>
        </is>
      </c>
      <c r="H136" s="9" t="inlineStr">
        <is>
          <t>no</t>
        </is>
      </c>
    </row>
    <row r="137">
      <c r="A137" s="9" t="n">
        <v>136</v>
      </c>
      <c r="B137" s="58" t="n">
        <v>46305</v>
      </c>
      <c r="C137" s="9" t="n">
        <v>1</v>
      </c>
      <c r="D137" s="9" t="inlineStr">
        <is>
          <t>partner_cancellation</t>
        </is>
      </c>
      <c r="E137" s="9" t="inlineStr">
        <is>
          <t>repeated_reschedule</t>
        </is>
      </c>
      <c r="F137" s="9" t="inlineStr">
        <is>
          <t>yes</t>
        </is>
      </c>
      <c r="G137" s="9" t="inlineStr">
        <is>
          <t>medium</t>
        </is>
      </c>
      <c r="H137" s="9" t="inlineStr">
        <is>
          <t>no</t>
        </is>
      </c>
    </row>
    <row r="138">
      <c r="A138" s="9" t="n">
        <v>137</v>
      </c>
      <c r="B138" s="58" t="n">
        <v>46305</v>
      </c>
      <c r="C138" s="9" t="n">
        <v>5</v>
      </c>
      <c r="D138" s="9" t="inlineStr">
        <is>
          <t>praise</t>
        </is>
      </c>
      <c r="E138" s="9" t="inlineStr">
        <is>
          <t>praise_service</t>
        </is>
      </c>
      <c r="F138" s="9" t="inlineStr">
        <is>
          <t>no</t>
        </is>
      </c>
      <c r="G138" s="9" t="inlineStr">
        <is>
          <t>none</t>
        </is>
      </c>
      <c r="H138" s="9" t="inlineStr">
        <is>
          <t>no</t>
        </is>
      </c>
    </row>
    <row r="139">
      <c r="A139" s="9" t="n">
        <v>138</v>
      </c>
      <c r="B139" s="58" t="n">
        <v>46305</v>
      </c>
      <c r="C139" s="9" t="n">
        <v>1</v>
      </c>
      <c r="D139" s="9" t="inlineStr">
        <is>
          <t>payment_refund</t>
        </is>
      </c>
      <c r="E139" s="9" t="inlineStr">
        <is>
          <t>refund_denied</t>
        </is>
      </c>
      <c r="F139" s="9" t="inlineStr">
        <is>
          <t>no</t>
        </is>
      </c>
      <c r="G139" s="9" t="inlineStr">
        <is>
          <t>high</t>
        </is>
      </c>
      <c r="H139" s="9" t="inlineStr">
        <is>
          <t>no</t>
        </is>
      </c>
    </row>
    <row r="140">
      <c r="A140" s="9" t="n">
        <v>139</v>
      </c>
      <c r="B140" s="58" t="n">
        <v>46305</v>
      </c>
      <c r="C140" s="9" t="n">
        <v>1</v>
      </c>
      <c r="D140" s="9" t="inlineStr">
        <is>
          <t>service_quality</t>
        </is>
      </c>
      <c r="E140" s="9" t="inlineStr">
        <is>
          <t>poor_skill</t>
        </is>
      </c>
      <c r="F140" s="9" t="inlineStr">
        <is>
          <t>yes</t>
        </is>
      </c>
      <c r="G140" s="9" t="inlineStr">
        <is>
          <t>medium</t>
        </is>
      </c>
      <c r="H140" s="9" t="inlineStr">
        <is>
          <t>no</t>
        </is>
      </c>
    </row>
    <row r="141">
      <c r="A141" s="9" t="n">
        <v>140</v>
      </c>
      <c r="B141" s="58" t="n">
        <v>46305</v>
      </c>
      <c r="C141" s="9" t="n">
        <v>4</v>
      </c>
      <c r="D141" s="9" t="inlineStr">
        <is>
          <t>app</t>
        </is>
      </c>
      <c r="E141" s="9" t="inlineStr">
        <is>
          <t>slots_unavailable</t>
        </is>
      </c>
      <c r="F141" s="9" t="inlineStr">
        <is>
          <t>no</t>
        </is>
      </c>
      <c r="G141" s="9" t="inlineStr">
        <is>
          <t>low</t>
        </is>
      </c>
      <c r="H141" s="9" t="inlineStr">
        <is>
          <t>no</t>
        </is>
      </c>
    </row>
    <row r="142">
      <c r="A142" s="9" t="n">
        <v>141</v>
      </c>
      <c r="B142" s="58" t="n">
        <v>46305</v>
      </c>
      <c r="C142" s="9" t="n">
        <v>5</v>
      </c>
      <c r="D142" s="9" t="inlineStr">
        <is>
          <t>praise</t>
        </is>
      </c>
      <c r="E142" s="9" t="inlineStr">
        <is>
          <t>praise_professional</t>
        </is>
      </c>
      <c r="F142" s="9" t="inlineStr">
        <is>
          <t>no</t>
        </is>
      </c>
      <c r="G142" s="9" t="inlineStr">
        <is>
          <t>none</t>
        </is>
      </c>
      <c r="H142" s="9" t="inlineStr">
        <is>
          <t>no</t>
        </is>
      </c>
    </row>
    <row r="143">
      <c r="A143" s="9" t="n">
        <v>142</v>
      </c>
      <c r="B143" s="58" t="n">
        <v>46305</v>
      </c>
      <c r="C143" s="9" t="n">
        <v>1</v>
      </c>
      <c r="D143" s="9" t="inlineStr">
        <is>
          <t>service_quality</t>
        </is>
      </c>
      <c r="E143" s="9" t="inlineStr">
        <is>
          <t>rude_behaviour</t>
        </is>
      </c>
      <c r="F143" s="9" t="inlineStr">
        <is>
          <t>no</t>
        </is>
      </c>
      <c r="G143" s="9" t="inlineStr">
        <is>
          <t>medium</t>
        </is>
      </c>
      <c r="H143" s="9" t="inlineStr">
        <is>
          <t>no</t>
        </is>
      </c>
    </row>
    <row r="144">
      <c r="A144" s="9" t="n">
        <v>143</v>
      </c>
      <c r="B144" s="58" t="n">
        <v>46304</v>
      </c>
      <c r="C144" s="9" t="n">
        <v>5</v>
      </c>
      <c r="D144" s="9" t="inlineStr">
        <is>
          <t>praise</t>
        </is>
      </c>
      <c r="E144" s="9" t="inlineStr">
        <is>
          <t>praise_service</t>
        </is>
      </c>
      <c r="F144" s="9" t="inlineStr">
        <is>
          <t>no</t>
        </is>
      </c>
      <c r="G144" s="9" t="inlineStr">
        <is>
          <t>none</t>
        </is>
      </c>
      <c r="H144" s="9" t="inlineStr">
        <is>
          <t>no</t>
        </is>
      </c>
    </row>
    <row r="145">
      <c r="A145" s="9" t="n">
        <v>144</v>
      </c>
      <c r="B145" s="58" t="n">
        <v>46304</v>
      </c>
      <c r="C145" s="9" t="n">
        <v>4</v>
      </c>
      <c r="D145" s="9" t="inlineStr">
        <is>
          <t>service_quality</t>
        </is>
      </c>
      <c r="E145" s="9" t="inlineStr">
        <is>
          <t>poor_skill</t>
        </is>
      </c>
      <c r="F145" s="9" t="inlineStr">
        <is>
          <t>no</t>
        </is>
      </c>
      <c r="G145" s="9" t="inlineStr">
        <is>
          <t>low</t>
        </is>
      </c>
      <c r="H145" s="9" t="inlineStr">
        <is>
          <t>no</t>
        </is>
      </c>
    </row>
    <row r="146">
      <c r="A146" s="9" t="n">
        <v>145</v>
      </c>
      <c r="B146" s="58" t="n">
        <v>46304</v>
      </c>
      <c r="C146" s="9" t="n">
        <v>5</v>
      </c>
      <c r="D146" s="9" t="inlineStr">
        <is>
          <t>praise</t>
        </is>
      </c>
      <c r="E146" s="9" t="inlineStr">
        <is>
          <t>praise_service</t>
        </is>
      </c>
      <c r="F146" s="9" t="inlineStr">
        <is>
          <t>no</t>
        </is>
      </c>
      <c r="G146" s="9" t="inlineStr">
        <is>
          <t>none</t>
        </is>
      </c>
      <c r="H146" s="9" t="inlineStr">
        <is>
          <t>no</t>
        </is>
      </c>
    </row>
    <row r="147">
      <c r="A147" s="9" t="n">
        <v>146</v>
      </c>
      <c r="B147" s="58" t="n">
        <v>46304</v>
      </c>
      <c r="C147" s="9" t="n">
        <v>5</v>
      </c>
      <c r="D147" s="9" t="inlineStr">
        <is>
          <t>praise</t>
        </is>
      </c>
      <c r="E147" s="9" t="inlineStr">
        <is>
          <t>praise_service</t>
        </is>
      </c>
      <c r="F147" s="9" t="inlineStr">
        <is>
          <t>no</t>
        </is>
      </c>
      <c r="G147" s="9" t="inlineStr">
        <is>
          <t>none</t>
        </is>
      </c>
      <c r="H147" s="9" t="inlineStr">
        <is>
          <t>no</t>
        </is>
      </c>
    </row>
    <row r="148">
      <c r="A148" s="9" t="n">
        <v>147</v>
      </c>
      <c r="B148" s="58" t="n">
        <v>46304</v>
      </c>
      <c r="C148" s="9" t="n">
        <v>1</v>
      </c>
      <c r="D148" s="9" t="inlineStr">
        <is>
          <t>service_quality</t>
        </is>
      </c>
      <c r="E148" s="9" t="inlineStr">
        <is>
          <t>poor_skill</t>
        </is>
      </c>
      <c r="F148" s="9" t="inlineStr">
        <is>
          <t>yes</t>
        </is>
      </c>
      <c r="G148" s="9" t="inlineStr">
        <is>
          <t>medium</t>
        </is>
      </c>
      <c r="H148" s="9" t="inlineStr">
        <is>
          <t>no</t>
        </is>
      </c>
    </row>
    <row r="149">
      <c r="A149" s="9" t="n">
        <v>148</v>
      </c>
      <c r="B149" s="58" t="n">
        <v>46304</v>
      </c>
      <c r="C149" s="9" t="n">
        <v>5</v>
      </c>
      <c r="D149" s="9" t="inlineStr">
        <is>
          <t>praise</t>
        </is>
      </c>
      <c r="E149" s="9" t="inlineStr">
        <is>
          <t>praise_value</t>
        </is>
      </c>
      <c r="F149" s="9" t="inlineStr">
        <is>
          <t>no</t>
        </is>
      </c>
      <c r="G149" s="9" t="inlineStr">
        <is>
          <t>none</t>
        </is>
      </c>
      <c r="H149" s="9" t="inlineStr">
        <is>
          <t>no</t>
        </is>
      </c>
    </row>
    <row r="150">
      <c r="A150" s="9" t="n">
        <v>149</v>
      </c>
      <c r="B150" s="58" t="n">
        <v>46304</v>
      </c>
      <c r="C150" s="9" t="n">
        <v>1</v>
      </c>
      <c r="D150" s="9" t="inlineStr">
        <is>
          <t>payment_refund</t>
        </is>
      </c>
      <c r="E150" s="9" t="inlineStr">
        <is>
          <t>charged_not_served</t>
        </is>
      </c>
      <c r="F150" s="9" t="inlineStr">
        <is>
          <t>yes</t>
        </is>
      </c>
      <c r="G150" s="9" t="inlineStr">
        <is>
          <t>high</t>
        </is>
      </c>
      <c r="H150" s="9" t="inlineStr">
        <is>
          <t>yes</t>
        </is>
      </c>
    </row>
    <row r="151">
      <c r="A151" s="9" t="n">
        <v>150</v>
      </c>
      <c r="B151" s="58" t="n">
        <v>46304</v>
      </c>
      <c r="C151" s="9" t="n">
        <v>1</v>
      </c>
      <c r="D151" s="9" t="inlineStr">
        <is>
          <t>price_clarity</t>
        </is>
      </c>
      <c r="E151" s="9" t="inlineStr">
        <is>
          <t>hidden_charges</t>
        </is>
      </c>
      <c r="F151" s="9" t="inlineStr">
        <is>
          <t>no</t>
        </is>
      </c>
      <c r="G151" s="9" t="inlineStr">
        <is>
          <t>medium</t>
        </is>
      </c>
      <c r="H151" s="9" t="inlineStr">
        <is>
          <t>no</t>
        </is>
      </c>
    </row>
    <row r="152">
      <c r="A152" s="9" t="n">
        <v>151</v>
      </c>
      <c r="B152" s="58" t="n">
        <v>46304</v>
      </c>
      <c r="C152" s="9" t="n">
        <v>1</v>
      </c>
      <c r="D152" s="9" t="inlineStr">
        <is>
          <t>partner_cancellation</t>
        </is>
      </c>
      <c r="E152" s="9" t="inlineStr">
        <is>
          <t>no_partner_available</t>
        </is>
      </c>
      <c r="F152" s="9" t="inlineStr">
        <is>
          <t>yes</t>
        </is>
      </c>
      <c r="G152" s="9" t="inlineStr">
        <is>
          <t>high</t>
        </is>
      </c>
      <c r="H152" s="9" t="inlineStr">
        <is>
          <t>no</t>
        </is>
      </c>
    </row>
    <row r="153">
      <c r="A153" s="9" t="n">
        <v>152</v>
      </c>
      <c r="B153" s="58" t="n">
        <v>46304</v>
      </c>
      <c r="C153" s="9" t="n">
        <v>1</v>
      </c>
      <c r="D153" s="9" t="inlineStr">
        <is>
          <t>partner_cancellation</t>
        </is>
      </c>
      <c r="E153" s="9" t="inlineStr">
        <is>
          <t>last_minute_cancel</t>
        </is>
      </c>
      <c r="F153" s="9" t="inlineStr">
        <is>
          <t>yes</t>
        </is>
      </c>
      <c r="G153" s="9" t="inlineStr">
        <is>
          <t>medium</t>
        </is>
      </c>
      <c r="H153" s="9" t="inlineStr">
        <is>
          <t>no</t>
        </is>
      </c>
    </row>
    <row r="154">
      <c r="A154" s="9" t="n">
        <v>153</v>
      </c>
      <c r="B154" s="58" t="n">
        <v>46304</v>
      </c>
      <c r="C154" s="9" t="n">
        <v>5</v>
      </c>
      <c r="D154" s="9" t="inlineStr">
        <is>
          <t>praise</t>
        </is>
      </c>
      <c r="E154" s="9" t="inlineStr">
        <is>
          <t>praise_service</t>
        </is>
      </c>
      <c r="F154" s="9" t="inlineStr">
        <is>
          <t>no</t>
        </is>
      </c>
      <c r="G154" s="9" t="inlineStr">
        <is>
          <t>none</t>
        </is>
      </c>
      <c r="H154" s="9" t="inlineStr">
        <is>
          <t>no</t>
        </is>
      </c>
    </row>
    <row r="155">
      <c r="A155" s="9" t="n">
        <v>154</v>
      </c>
      <c r="B155" s="58" t="n">
        <v>46304</v>
      </c>
      <c r="C155" s="9" t="n">
        <v>5</v>
      </c>
      <c r="D155" s="9" t="inlineStr">
        <is>
          <t>price_clarity</t>
        </is>
      </c>
      <c r="E155" s="9" t="inlineStr">
        <is>
          <t>hidden_charges</t>
        </is>
      </c>
      <c r="F155" s="9" t="inlineStr">
        <is>
          <t>no</t>
        </is>
      </c>
      <c r="G155" s="9" t="inlineStr">
        <is>
          <t>medium</t>
        </is>
      </c>
      <c r="H155" s="9" t="inlineStr">
        <is>
          <t>no</t>
        </is>
      </c>
    </row>
    <row r="156">
      <c r="A156" s="9" t="n">
        <v>155</v>
      </c>
      <c r="B156" s="58" t="n">
        <v>46304</v>
      </c>
      <c r="C156" s="9" t="n">
        <v>5</v>
      </c>
      <c r="D156" s="9" t="inlineStr">
        <is>
          <t>praise</t>
        </is>
      </c>
      <c r="E156" s="9" t="inlineStr">
        <is>
          <t>praise_service</t>
        </is>
      </c>
      <c r="F156" s="9" t="inlineStr">
        <is>
          <t>no</t>
        </is>
      </c>
      <c r="G156" s="9" t="inlineStr">
        <is>
          <t>none</t>
        </is>
      </c>
      <c r="H156" s="9" t="inlineStr">
        <is>
          <t>no</t>
        </is>
      </c>
    </row>
    <row r="157">
      <c r="A157" s="9" t="n">
        <v>156</v>
      </c>
      <c r="B157" s="58" t="n">
        <v>46304</v>
      </c>
      <c r="C157" s="9" t="n">
        <v>5</v>
      </c>
      <c r="D157" s="9" t="inlineStr">
        <is>
          <t>praise</t>
        </is>
      </c>
      <c r="E157" s="9" t="inlineStr">
        <is>
          <t>praise_value</t>
        </is>
      </c>
      <c r="F157" s="9" t="inlineStr">
        <is>
          <t>no</t>
        </is>
      </c>
      <c r="G157" s="9" t="inlineStr">
        <is>
          <t>none</t>
        </is>
      </c>
      <c r="H157" s="9" t="inlineStr">
        <is>
          <t>no</t>
        </is>
      </c>
    </row>
    <row r="158">
      <c r="A158" s="9" t="n">
        <v>157</v>
      </c>
      <c r="B158" s="58" t="n">
        <v>46303</v>
      </c>
      <c r="C158" s="9" t="n">
        <v>1</v>
      </c>
      <c r="D158" s="9" t="inlineStr">
        <is>
          <t>partner_cancellation</t>
        </is>
      </c>
      <c r="E158" s="9" t="inlineStr">
        <is>
          <t>last_minute_cancel</t>
        </is>
      </c>
      <c r="F158" s="9" t="inlineStr">
        <is>
          <t>yes</t>
        </is>
      </c>
      <c r="G158" s="9" t="inlineStr">
        <is>
          <t>medium</t>
        </is>
      </c>
      <c r="H158" s="9" t="inlineStr">
        <is>
          <t>no</t>
        </is>
      </c>
    </row>
    <row r="159">
      <c r="A159" s="9" t="n">
        <v>158</v>
      </c>
      <c r="B159" s="58" t="n">
        <v>46303</v>
      </c>
      <c r="C159" s="9" t="n">
        <v>5</v>
      </c>
      <c r="D159" s="9" t="inlineStr">
        <is>
          <t>praise</t>
        </is>
      </c>
      <c r="E159" s="9" t="inlineStr">
        <is>
          <t>praise_professional</t>
        </is>
      </c>
      <c r="F159" s="9" t="inlineStr">
        <is>
          <t>no</t>
        </is>
      </c>
      <c r="G159" s="9" t="inlineStr">
        <is>
          <t>none</t>
        </is>
      </c>
      <c r="H159" s="9" t="inlineStr">
        <is>
          <t>no</t>
        </is>
      </c>
    </row>
    <row r="160">
      <c r="A160" s="9" t="n">
        <v>159</v>
      </c>
      <c r="B160" s="58" t="n">
        <v>46303</v>
      </c>
      <c r="C160" s="9" t="n">
        <v>1</v>
      </c>
      <c r="D160" s="9" t="inlineStr">
        <is>
          <t>other</t>
        </is>
      </c>
      <c r="E160" s="9" t="inlineStr">
        <is>
          <t>other_issue</t>
        </is>
      </c>
      <c r="F160" s="9" t="inlineStr">
        <is>
          <t>no</t>
        </is>
      </c>
      <c r="G160" s="9" t="inlineStr">
        <is>
          <t>medium</t>
        </is>
      </c>
      <c r="H160" s="9" t="inlineStr">
        <is>
          <t>no</t>
        </is>
      </c>
    </row>
    <row r="161">
      <c r="A161" s="9" t="n">
        <v>160</v>
      </c>
      <c r="B161" s="58" t="n">
        <v>46303</v>
      </c>
      <c r="C161" s="9" t="n">
        <v>1</v>
      </c>
      <c r="D161" s="9" t="inlineStr">
        <is>
          <t>service_quality</t>
        </is>
      </c>
      <c r="E161" s="9" t="inlineStr">
        <is>
          <t>hygiene</t>
        </is>
      </c>
      <c r="F161" s="9" t="inlineStr">
        <is>
          <t>yes</t>
        </is>
      </c>
      <c r="G161" s="9" t="inlineStr">
        <is>
          <t>high</t>
        </is>
      </c>
      <c r="H161" s="9" t="inlineStr">
        <is>
          <t>no</t>
        </is>
      </c>
    </row>
    <row r="162">
      <c r="A162" s="9" t="n">
        <v>161</v>
      </c>
      <c r="B162" s="58" t="n">
        <v>46303</v>
      </c>
      <c r="C162" s="9" t="n">
        <v>2</v>
      </c>
      <c r="D162" s="9" t="inlineStr">
        <is>
          <t>delay</t>
        </is>
      </c>
      <c r="E162" s="9" t="inlineStr">
        <is>
          <t>slow_assignment</t>
        </is>
      </c>
      <c r="F162" s="9" t="inlineStr">
        <is>
          <t>yes</t>
        </is>
      </c>
      <c r="G162" s="9" t="inlineStr">
        <is>
          <t>medium</t>
        </is>
      </c>
      <c r="H162" s="9" t="inlineStr">
        <is>
          <t>no</t>
        </is>
      </c>
    </row>
    <row r="163">
      <c r="A163" s="9" t="n">
        <v>162</v>
      </c>
      <c r="B163" s="58" t="n">
        <v>46303</v>
      </c>
      <c r="C163" s="9" t="n">
        <v>5</v>
      </c>
      <c r="D163" s="9" t="inlineStr">
        <is>
          <t>praise</t>
        </is>
      </c>
      <c r="E163" s="9" t="inlineStr">
        <is>
          <t>praise_professional</t>
        </is>
      </c>
      <c r="F163" s="9" t="inlineStr">
        <is>
          <t>no</t>
        </is>
      </c>
      <c r="G163" s="9" t="inlineStr">
        <is>
          <t>none</t>
        </is>
      </c>
      <c r="H163" s="9" t="inlineStr">
        <is>
          <t>no</t>
        </is>
      </c>
    </row>
    <row r="164">
      <c r="A164" s="9" t="n">
        <v>163</v>
      </c>
      <c r="B164" s="58" t="n">
        <v>46303</v>
      </c>
      <c r="C164" s="9" t="n">
        <v>4</v>
      </c>
      <c r="D164" s="9" t="inlineStr">
        <is>
          <t>praise</t>
        </is>
      </c>
      <c r="E164" s="9" t="inlineStr">
        <is>
          <t>praise_service</t>
        </is>
      </c>
      <c r="F164" s="9" t="inlineStr">
        <is>
          <t>no</t>
        </is>
      </c>
      <c r="G164" s="9" t="inlineStr">
        <is>
          <t>none</t>
        </is>
      </c>
      <c r="H164" s="9" t="inlineStr">
        <is>
          <t>no</t>
        </is>
      </c>
    </row>
    <row r="165">
      <c r="A165" s="9" t="n">
        <v>164</v>
      </c>
      <c r="B165" s="58" t="n">
        <v>46303</v>
      </c>
      <c r="C165" s="9" t="n">
        <v>1</v>
      </c>
      <c r="D165" s="9" t="inlineStr">
        <is>
          <t>service_quality</t>
        </is>
      </c>
      <c r="E165" s="9" t="inlineStr">
        <is>
          <t>rude_behaviour</t>
        </is>
      </c>
      <c r="F165" s="9" t="inlineStr">
        <is>
          <t>yes</t>
        </is>
      </c>
      <c r="G165" s="9" t="inlineStr">
        <is>
          <t>high</t>
        </is>
      </c>
      <c r="H165" s="9" t="inlineStr">
        <is>
          <t>yes</t>
        </is>
      </c>
    </row>
    <row r="166">
      <c r="A166" s="9" t="n">
        <v>165</v>
      </c>
      <c r="B166" s="58" t="n">
        <v>46303</v>
      </c>
      <c r="C166" s="9" t="n">
        <v>4</v>
      </c>
      <c r="D166" s="9" t="inlineStr">
        <is>
          <t>praise</t>
        </is>
      </c>
      <c r="E166" s="9" t="inlineStr">
        <is>
          <t>praise_professional</t>
        </is>
      </c>
      <c r="F166" s="9" t="inlineStr">
        <is>
          <t>no</t>
        </is>
      </c>
      <c r="G166" s="9" t="inlineStr">
        <is>
          <t>none</t>
        </is>
      </c>
      <c r="H166" s="9" t="inlineStr">
        <is>
          <t>no</t>
        </is>
      </c>
    </row>
    <row r="167">
      <c r="A167" s="9" t="n">
        <v>166</v>
      </c>
      <c r="B167" s="58" t="n">
        <v>46303</v>
      </c>
      <c r="C167" s="9" t="n">
        <v>5</v>
      </c>
      <c r="D167" s="9" t="inlineStr">
        <is>
          <t>praise</t>
        </is>
      </c>
      <c r="E167" s="9" t="inlineStr">
        <is>
          <t>praise_service</t>
        </is>
      </c>
      <c r="F167" s="9" t="inlineStr">
        <is>
          <t>no</t>
        </is>
      </c>
      <c r="G167" s="9" t="inlineStr">
        <is>
          <t>none</t>
        </is>
      </c>
      <c r="H167" s="9" t="inlineStr">
        <is>
          <t>no</t>
        </is>
      </c>
    </row>
    <row r="168">
      <c r="A168" s="9" t="n">
        <v>167</v>
      </c>
      <c r="B168" s="58" t="n">
        <v>46303</v>
      </c>
      <c r="C168" s="9" t="n">
        <v>3</v>
      </c>
      <c r="D168" s="9" t="inlineStr">
        <is>
          <t>service_quality</t>
        </is>
      </c>
      <c r="E168" s="9" t="inlineStr">
        <is>
          <t>rushed_or_incomplete</t>
        </is>
      </c>
      <c r="F168" s="9" t="inlineStr">
        <is>
          <t>no</t>
        </is>
      </c>
      <c r="G168" s="9" t="inlineStr">
        <is>
          <t>low</t>
        </is>
      </c>
      <c r="H168" s="9" t="inlineStr">
        <is>
          <t>no</t>
        </is>
      </c>
    </row>
    <row r="169">
      <c r="A169" s="9" t="n">
        <v>168</v>
      </c>
      <c r="B169" s="58" t="n">
        <v>46303</v>
      </c>
      <c r="C169" s="9" t="n">
        <v>4</v>
      </c>
      <c r="D169" s="9" t="inlineStr">
        <is>
          <t>service_quality</t>
        </is>
      </c>
      <c r="E169" s="9" t="inlineStr">
        <is>
          <t>poor_skill</t>
        </is>
      </c>
      <c r="F169" s="9" t="inlineStr">
        <is>
          <t>no</t>
        </is>
      </c>
      <c r="G169" s="9" t="inlineStr">
        <is>
          <t>low</t>
        </is>
      </c>
      <c r="H169" s="9" t="inlineStr">
        <is>
          <t>no</t>
        </is>
      </c>
    </row>
    <row r="170">
      <c r="A170" s="9" t="n">
        <v>169</v>
      </c>
      <c r="B170" s="58" t="n">
        <v>46302</v>
      </c>
      <c r="C170" s="9" t="n">
        <v>1</v>
      </c>
      <c r="D170" s="9" t="inlineStr">
        <is>
          <t>partner_cancellation</t>
        </is>
      </c>
      <c r="E170" s="9" t="inlineStr">
        <is>
          <t>last_minute_cancel</t>
        </is>
      </c>
      <c r="F170" s="9" t="inlineStr">
        <is>
          <t>yes</t>
        </is>
      </c>
      <c r="G170" s="9" t="inlineStr">
        <is>
          <t>medium</t>
        </is>
      </c>
      <c r="H170" s="9" t="inlineStr">
        <is>
          <t>no</t>
        </is>
      </c>
    </row>
    <row r="171">
      <c r="A171" s="9" t="n">
        <v>170</v>
      </c>
      <c r="B171" s="58" t="n">
        <v>46302</v>
      </c>
      <c r="C171" s="9" t="n">
        <v>1</v>
      </c>
      <c r="D171" s="9" t="inlineStr">
        <is>
          <t>price_clarity</t>
        </is>
      </c>
      <c r="E171" s="9" t="inlineStr">
        <is>
          <t>hidden_charges</t>
        </is>
      </c>
      <c r="F171" s="9" t="inlineStr">
        <is>
          <t>no</t>
        </is>
      </c>
      <c r="G171" s="9" t="inlineStr">
        <is>
          <t>medium</t>
        </is>
      </c>
      <c r="H171" s="9" t="inlineStr">
        <is>
          <t>no</t>
        </is>
      </c>
    </row>
    <row r="172">
      <c r="A172" s="9" t="n">
        <v>171</v>
      </c>
      <c r="B172" s="58" t="n">
        <v>46302</v>
      </c>
      <c r="C172" s="9" t="n">
        <v>1</v>
      </c>
      <c r="D172" s="9" t="inlineStr">
        <is>
          <t>partner_cancellation</t>
        </is>
      </c>
      <c r="E172" s="9" t="inlineStr">
        <is>
          <t>last_minute_cancel</t>
        </is>
      </c>
      <c r="F172" s="9" t="inlineStr">
        <is>
          <t>yes</t>
        </is>
      </c>
      <c r="G172" s="9" t="inlineStr">
        <is>
          <t>medium</t>
        </is>
      </c>
      <c r="H172" s="9" t="inlineStr">
        <is>
          <t>yes</t>
        </is>
      </c>
    </row>
    <row r="173">
      <c r="A173" s="9" t="n">
        <v>172</v>
      </c>
      <c r="B173" s="58" t="n">
        <v>46302</v>
      </c>
      <c r="C173" s="9" t="n">
        <v>1</v>
      </c>
      <c r="D173" s="9" t="inlineStr">
        <is>
          <t>price_clarity</t>
        </is>
      </c>
      <c r="E173" s="9" t="inlineStr">
        <is>
          <t>membership_or_package_confusion</t>
        </is>
      </c>
      <c r="F173" s="9" t="inlineStr">
        <is>
          <t>no</t>
        </is>
      </c>
      <c r="G173" s="9" t="inlineStr">
        <is>
          <t>high</t>
        </is>
      </c>
      <c r="H173" s="9" t="inlineStr">
        <is>
          <t>no</t>
        </is>
      </c>
    </row>
    <row r="174">
      <c r="A174" s="9" t="n">
        <v>173</v>
      </c>
      <c r="B174" s="58" t="n">
        <v>46302</v>
      </c>
      <c r="C174" s="9" t="n">
        <v>5</v>
      </c>
      <c r="D174" s="9" t="inlineStr">
        <is>
          <t>praise</t>
        </is>
      </c>
      <c r="E174" s="9" t="inlineStr">
        <is>
          <t>praise_service</t>
        </is>
      </c>
      <c r="F174" s="9" t="inlineStr">
        <is>
          <t>no</t>
        </is>
      </c>
      <c r="G174" s="9" t="inlineStr">
        <is>
          <t>none</t>
        </is>
      </c>
      <c r="H174" s="9" t="inlineStr">
        <is>
          <t>no</t>
        </is>
      </c>
    </row>
    <row r="175">
      <c r="A175" s="9" t="n">
        <v>174</v>
      </c>
      <c r="B175" s="58" t="n">
        <v>46302</v>
      </c>
      <c r="C175" s="9" t="n">
        <v>1</v>
      </c>
      <c r="D175" s="9" t="inlineStr">
        <is>
          <t>service_quality</t>
        </is>
      </c>
      <c r="E175" s="9" t="inlineStr">
        <is>
          <t>poor_skill</t>
        </is>
      </c>
      <c r="F175" s="9" t="inlineStr">
        <is>
          <t>no</t>
        </is>
      </c>
      <c r="G175" s="9" t="inlineStr">
        <is>
          <t>high</t>
        </is>
      </c>
      <c r="H175" s="9" t="inlineStr">
        <is>
          <t>no</t>
        </is>
      </c>
    </row>
    <row r="176">
      <c r="A176" s="9" t="n">
        <v>175</v>
      </c>
      <c r="B176" s="58" t="n">
        <v>46302</v>
      </c>
      <c r="C176" s="9" t="n">
        <v>1</v>
      </c>
      <c r="D176" s="9" t="inlineStr">
        <is>
          <t>other</t>
        </is>
      </c>
      <c r="E176" s="9" t="inlineStr">
        <is>
          <t>unclear</t>
        </is>
      </c>
      <c r="F176" s="9" t="inlineStr">
        <is>
          <t>no</t>
        </is>
      </c>
      <c r="G176" s="9" t="inlineStr">
        <is>
          <t>low</t>
        </is>
      </c>
      <c r="H176" s="9" t="inlineStr">
        <is>
          <t>yes</t>
        </is>
      </c>
    </row>
    <row r="177">
      <c r="A177" s="9" t="n">
        <v>176</v>
      </c>
      <c r="B177" s="58" t="n">
        <v>46302</v>
      </c>
      <c r="C177" s="9" t="n">
        <v>1</v>
      </c>
      <c r="D177" s="9" t="inlineStr">
        <is>
          <t>price_clarity</t>
        </is>
      </c>
      <c r="E177" s="9" t="inlineStr">
        <is>
          <t>price_mismatch</t>
        </is>
      </c>
      <c r="F177" s="9" t="inlineStr">
        <is>
          <t>no</t>
        </is>
      </c>
      <c r="G177" s="9" t="inlineStr">
        <is>
          <t>low</t>
        </is>
      </c>
      <c r="H177" s="9" t="inlineStr">
        <is>
          <t>no</t>
        </is>
      </c>
    </row>
    <row r="178">
      <c r="A178" s="9" t="n">
        <v>177</v>
      </c>
      <c r="B178" s="58" t="n">
        <v>46302</v>
      </c>
      <c r="C178" s="9" t="n">
        <v>1</v>
      </c>
      <c r="D178" s="9" t="inlineStr">
        <is>
          <t>price_clarity</t>
        </is>
      </c>
      <c r="E178" s="9" t="inlineStr">
        <is>
          <t>offer_not_honoured</t>
        </is>
      </c>
      <c r="F178" s="9" t="inlineStr">
        <is>
          <t>no</t>
        </is>
      </c>
      <c r="G178" s="9" t="inlineStr">
        <is>
          <t>medium</t>
        </is>
      </c>
      <c r="H178" s="9" t="inlineStr">
        <is>
          <t>no</t>
        </is>
      </c>
    </row>
    <row r="179">
      <c r="A179" s="9" t="n">
        <v>178</v>
      </c>
      <c r="B179" s="58" t="n">
        <v>46302</v>
      </c>
      <c r="C179" s="9" t="n">
        <v>5</v>
      </c>
      <c r="D179" s="9" t="inlineStr">
        <is>
          <t>praise</t>
        </is>
      </c>
      <c r="E179" s="9" t="inlineStr">
        <is>
          <t>praise_professional</t>
        </is>
      </c>
      <c r="F179" s="9" t="inlineStr">
        <is>
          <t>no</t>
        </is>
      </c>
      <c r="G179" s="9" t="inlineStr">
        <is>
          <t>none</t>
        </is>
      </c>
      <c r="H179" s="9" t="inlineStr">
        <is>
          <t>no</t>
        </is>
      </c>
    </row>
    <row r="180">
      <c r="A180" s="9" t="n">
        <v>179</v>
      </c>
      <c r="B180" s="58" t="n">
        <v>46302</v>
      </c>
      <c r="C180" s="9" t="n">
        <v>5</v>
      </c>
      <c r="D180" s="9" t="inlineStr">
        <is>
          <t>praise</t>
        </is>
      </c>
      <c r="E180" s="9" t="inlineStr">
        <is>
          <t>praise_service</t>
        </is>
      </c>
      <c r="F180" s="9" t="inlineStr">
        <is>
          <t>no</t>
        </is>
      </c>
      <c r="G180" s="9" t="inlineStr">
        <is>
          <t>none</t>
        </is>
      </c>
      <c r="H180" s="9" t="inlineStr">
        <is>
          <t>no</t>
        </is>
      </c>
    </row>
    <row r="181">
      <c r="A181" s="9" t="n">
        <v>180</v>
      </c>
      <c r="B181" s="58" t="n">
        <v>46301</v>
      </c>
      <c r="C181" s="9" t="n">
        <v>1</v>
      </c>
      <c r="D181" s="9" t="inlineStr">
        <is>
          <t>partner_cancellation</t>
        </is>
      </c>
      <c r="E181" s="9" t="inlineStr">
        <is>
          <t>repeated_reschedule</t>
        </is>
      </c>
      <c r="F181" s="9" t="inlineStr">
        <is>
          <t>no</t>
        </is>
      </c>
      <c r="G181" s="9" t="inlineStr">
        <is>
          <t>medium</t>
        </is>
      </c>
      <c r="H181" s="9" t="inlineStr">
        <is>
          <t>no</t>
        </is>
      </c>
    </row>
    <row r="182">
      <c r="A182" s="9" t="n">
        <v>181</v>
      </c>
      <c r="B182" s="58" t="n">
        <v>46301</v>
      </c>
      <c r="C182" s="9" t="n">
        <v>5</v>
      </c>
      <c r="D182" s="9" t="inlineStr">
        <is>
          <t>praise</t>
        </is>
      </c>
      <c r="E182" s="9" t="inlineStr">
        <is>
          <t>praise_professional</t>
        </is>
      </c>
      <c r="F182" s="9" t="inlineStr">
        <is>
          <t>no</t>
        </is>
      </c>
      <c r="G182" s="9" t="inlineStr">
        <is>
          <t>none</t>
        </is>
      </c>
      <c r="H182" s="9" t="inlineStr">
        <is>
          <t>no</t>
        </is>
      </c>
    </row>
    <row r="183">
      <c r="A183" s="9" t="n">
        <v>182</v>
      </c>
      <c r="B183" s="58" t="n">
        <v>46301</v>
      </c>
      <c r="C183" s="9" t="n">
        <v>5</v>
      </c>
      <c r="D183" s="9" t="inlineStr">
        <is>
          <t>praise</t>
        </is>
      </c>
      <c r="E183" s="9" t="inlineStr">
        <is>
          <t>praise_value</t>
        </is>
      </c>
      <c r="F183" s="9" t="inlineStr">
        <is>
          <t>no</t>
        </is>
      </c>
      <c r="G183" s="9" t="inlineStr">
        <is>
          <t>none</t>
        </is>
      </c>
      <c r="H183" s="9" t="inlineStr">
        <is>
          <t>no</t>
        </is>
      </c>
    </row>
    <row r="184">
      <c r="A184" s="9" t="n">
        <v>183</v>
      </c>
      <c r="B184" s="58" t="n">
        <v>46301</v>
      </c>
      <c r="C184" s="9" t="n">
        <v>1</v>
      </c>
      <c r="D184" s="9" t="inlineStr">
        <is>
          <t>partner_cancellation</t>
        </is>
      </c>
      <c r="E184" s="9" t="inlineStr">
        <is>
          <t>no_show</t>
        </is>
      </c>
      <c r="F184" s="9" t="inlineStr">
        <is>
          <t>yes</t>
        </is>
      </c>
      <c r="G184" s="9" t="inlineStr">
        <is>
          <t>medium</t>
        </is>
      </c>
      <c r="H184" s="9" t="inlineStr">
        <is>
          <t>no</t>
        </is>
      </c>
    </row>
    <row r="185">
      <c r="A185" s="9" t="n">
        <v>184</v>
      </c>
      <c r="B185" s="58" t="n">
        <v>46301</v>
      </c>
      <c r="C185" s="9" t="n">
        <v>1</v>
      </c>
      <c r="D185" s="9" t="inlineStr">
        <is>
          <t>app</t>
        </is>
      </c>
      <c r="E185" s="9" t="inlineStr">
        <is>
          <t>booking_or_checkout_bug</t>
        </is>
      </c>
      <c r="F185" s="9" t="inlineStr">
        <is>
          <t>no</t>
        </is>
      </c>
      <c r="G185" s="9" t="inlineStr">
        <is>
          <t>high</t>
        </is>
      </c>
      <c r="H185" s="9" t="inlineStr">
        <is>
          <t>no</t>
        </is>
      </c>
    </row>
    <row r="186">
      <c r="A186" s="9" t="n">
        <v>185</v>
      </c>
      <c r="B186" s="58" t="n">
        <v>46301</v>
      </c>
      <c r="C186" s="9" t="n">
        <v>5</v>
      </c>
      <c r="D186" s="9" t="inlineStr">
        <is>
          <t>praise</t>
        </is>
      </c>
      <c r="E186" s="9" t="inlineStr">
        <is>
          <t>praise_professional</t>
        </is>
      </c>
      <c r="F186" s="9" t="inlineStr">
        <is>
          <t>no</t>
        </is>
      </c>
      <c r="G186" s="9" t="inlineStr">
        <is>
          <t>none</t>
        </is>
      </c>
      <c r="H186" s="9" t="inlineStr">
        <is>
          <t>no</t>
        </is>
      </c>
    </row>
    <row r="187">
      <c r="A187" s="9" t="n">
        <v>186</v>
      </c>
      <c r="B187" s="58" t="n">
        <v>46301</v>
      </c>
      <c r="C187" s="9" t="n">
        <v>5</v>
      </c>
      <c r="D187" s="9" t="inlineStr">
        <is>
          <t>praise</t>
        </is>
      </c>
      <c r="E187" s="9" t="inlineStr">
        <is>
          <t>praise_service</t>
        </is>
      </c>
      <c r="F187" s="9" t="inlineStr">
        <is>
          <t>no</t>
        </is>
      </c>
      <c r="G187" s="9" t="inlineStr">
        <is>
          <t>none</t>
        </is>
      </c>
      <c r="H187" s="9" t="inlineStr">
        <is>
          <t>no</t>
        </is>
      </c>
    </row>
    <row r="188">
      <c r="A188" s="9" t="n">
        <v>187</v>
      </c>
      <c r="B188" s="58" t="n">
        <v>46300</v>
      </c>
      <c r="C188" s="9" t="n">
        <v>1</v>
      </c>
      <c r="D188" s="9" t="inlineStr">
        <is>
          <t>partner_cancellation</t>
        </is>
      </c>
      <c r="E188" s="9" t="inlineStr">
        <is>
          <t>last_minute_cancel</t>
        </is>
      </c>
      <c r="F188" s="9" t="inlineStr">
        <is>
          <t>no</t>
        </is>
      </c>
      <c r="G188" s="9" t="inlineStr">
        <is>
          <t>medium</t>
        </is>
      </c>
      <c r="H188" s="9" t="inlineStr">
        <is>
          <t>no</t>
        </is>
      </c>
    </row>
    <row r="189">
      <c r="A189" s="9" t="n">
        <v>188</v>
      </c>
      <c r="B189" s="58" t="n">
        <v>46300</v>
      </c>
      <c r="C189" s="9" t="n">
        <v>1</v>
      </c>
      <c r="D189" s="9" t="inlineStr">
        <is>
          <t>price_clarity</t>
        </is>
      </c>
      <c r="E189" s="9" t="inlineStr">
        <is>
          <t>price_mismatch</t>
        </is>
      </c>
      <c r="F189" s="9" t="inlineStr">
        <is>
          <t>no</t>
        </is>
      </c>
      <c r="G189" s="9" t="inlineStr">
        <is>
          <t>high</t>
        </is>
      </c>
      <c r="H189" s="9" t="inlineStr">
        <is>
          <t>yes</t>
        </is>
      </c>
    </row>
    <row r="190">
      <c r="A190" s="9" t="n">
        <v>189</v>
      </c>
      <c r="B190" s="58" t="n">
        <v>46300</v>
      </c>
      <c r="C190" s="9" t="n">
        <v>1</v>
      </c>
      <c r="D190" s="9" t="inlineStr">
        <is>
          <t>partner_cancellation</t>
        </is>
      </c>
      <c r="E190" s="9" t="inlineStr">
        <is>
          <t>no_partner_available</t>
        </is>
      </c>
      <c r="F190" s="9" t="inlineStr">
        <is>
          <t>yes</t>
        </is>
      </c>
      <c r="G190" s="9" t="inlineStr">
        <is>
          <t>high</t>
        </is>
      </c>
      <c r="H190" s="9" t="inlineStr">
        <is>
          <t>no</t>
        </is>
      </c>
    </row>
    <row r="191">
      <c r="A191" s="9" t="n">
        <v>190</v>
      </c>
      <c r="B191" s="58" t="n">
        <v>46300</v>
      </c>
      <c r="C191" s="9" t="n">
        <v>5</v>
      </c>
      <c r="D191" s="9" t="inlineStr">
        <is>
          <t>praise</t>
        </is>
      </c>
      <c r="E191" s="9" t="inlineStr">
        <is>
          <t>praise_service</t>
        </is>
      </c>
      <c r="F191" s="9" t="inlineStr">
        <is>
          <t>no</t>
        </is>
      </c>
      <c r="G191" s="9" t="inlineStr">
        <is>
          <t>none</t>
        </is>
      </c>
      <c r="H191" s="9" t="inlineStr">
        <is>
          <t>no</t>
        </is>
      </c>
    </row>
    <row r="192">
      <c r="A192" s="9" t="n">
        <v>191</v>
      </c>
      <c r="B192" s="58" t="n">
        <v>46300</v>
      </c>
      <c r="C192" s="9" t="n">
        <v>1</v>
      </c>
      <c r="D192" s="9" t="inlineStr">
        <is>
          <t>app</t>
        </is>
      </c>
      <c r="E192" s="9" t="inlineStr">
        <is>
          <t>other_app</t>
        </is>
      </c>
      <c r="F192" s="9" t="inlineStr">
        <is>
          <t>no</t>
        </is>
      </c>
      <c r="G192" s="9" t="inlineStr">
        <is>
          <t>low</t>
        </is>
      </c>
      <c r="H192" s="9" t="inlineStr">
        <is>
          <t>no</t>
        </is>
      </c>
    </row>
    <row r="193">
      <c r="A193" s="9" t="n">
        <v>192</v>
      </c>
      <c r="B193" s="58" t="n">
        <v>46300</v>
      </c>
      <c r="C193" s="9" t="n">
        <v>1</v>
      </c>
      <c r="D193" s="9" t="inlineStr">
        <is>
          <t>payment_refund</t>
        </is>
      </c>
      <c r="E193" s="9" t="inlineStr">
        <is>
          <t>charged_not_served</t>
        </is>
      </c>
      <c r="F193" s="9" t="inlineStr">
        <is>
          <t>no</t>
        </is>
      </c>
      <c r="G193" s="9" t="inlineStr">
        <is>
          <t>medium</t>
        </is>
      </c>
      <c r="H193" s="9" t="inlineStr">
        <is>
          <t>yes</t>
        </is>
      </c>
    </row>
    <row r="194">
      <c r="A194" s="9" t="n">
        <v>193</v>
      </c>
      <c r="B194" s="58" t="n">
        <v>46300</v>
      </c>
      <c r="C194" s="9" t="n">
        <v>1</v>
      </c>
      <c r="D194" s="9" t="inlineStr">
        <is>
          <t>service_quality</t>
        </is>
      </c>
      <c r="E194" s="9" t="inlineStr">
        <is>
          <t>poor_skill</t>
        </is>
      </c>
      <c r="F194" s="9" t="inlineStr">
        <is>
          <t>no</t>
        </is>
      </c>
      <c r="G194" s="9" t="inlineStr">
        <is>
          <t>medium</t>
        </is>
      </c>
      <c r="H194" s="9" t="inlineStr">
        <is>
          <t>no</t>
        </is>
      </c>
    </row>
    <row r="195">
      <c r="A195" s="9" t="n">
        <v>194</v>
      </c>
      <c r="B195" s="58" t="n">
        <v>46300</v>
      </c>
      <c r="C195" s="9" t="n">
        <v>4</v>
      </c>
      <c r="D195" s="9" t="inlineStr">
        <is>
          <t>app</t>
        </is>
      </c>
      <c r="E195" s="9" t="inlineStr">
        <is>
          <t>other_app</t>
        </is>
      </c>
      <c r="F195" s="9" t="inlineStr">
        <is>
          <t>no</t>
        </is>
      </c>
      <c r="G195" s="9" t="inlineStr">
        <is>
          <t>low</t>
        </is>
      </c>
      <c r="H195" s="9" t="inlineStr">
        <is>
          <t>no</t>
        </is>
      </c>
    </row>
    <row r="196">
      <c r="A196" s="9" t="n">
        <v>195</v>
      </c>
      <c r="B196" s="58" t="n">
        <v>46300</v>
      </c>
      <c r="C196" s="9" t="n">
        <v>1</v>
      </c>
      <c r="D196" s="9" t="inlineStr">
        <is>
          <t>price_clarity</t>
        </is>
      </c>
      <c r="E196" s="9" t="inlineStr">
        <is>
          <t>hidden_charges</t>
        </is>
      </c>
      <c r="F196" s="9" t="inlineStr">
        <is>
          <t>no</t>
        </is>
      </c>
      <c r="G196" s="9" t="inlineStr">
        <is>
          <t>low</t>
        </is>
      </c>
      <c r="H196" s="9" t="inlineStr">
        <is>
          <t>yes</t>
        </is>
      </c>
    </row>
    <row r="197">
      <c r="A197" s="9" t="n">
        <v>196</v>
      </c>
      <c r="B197" s="58" t="n">
        <v>46299</v>
      </c>
      <c r="C197" s="9" t="n">
        <v>1</v>
      </c>
      <c r="D197" s="9" t="inlineStr">
        <is>
          <t>partner_cancellation</t>
        </is>
      </c>
      <c r="E197" s="9" t="inlineStr">
        <is>
          <t>repeated_reschedule</t>
        </is>
      </c>
      <c r="F197" s="9" t="inlineStr">
        <is>
          <t>no</t>
        </is>
      </c>
      <c r="G197" s="9" t="inlineStr">
        <is>
          <t>high</t>
        </is>
      </c>
      <c r="H197" s="9" t="inlineStr">
        <is>
          <t>no</t>
        </is>
      </c>
    </row>
    <row r="198">
      <c r="A198" s="9" t="n">
        <v>197</v>
      </c>
      <c r="B198" s="58" t="n">
        <v>46299</v>
      </c>
      <c r="C198" s="9" t="n">
        <v>5</v>
      </c>
      <c r="D198" s="9" t="inlineStr">
        <is>
          <t>praise</t>
        </is>
      </c>
      <c r="E198" s="9" t="inlineStr">
        <is>
          <t>praise_professional</t>
        </is>
      </c>
      <c r="F198" s="9" t="inlineStr">
        <is>
          <t>no</t>
        </is>
      </c>
      <c r="G198" s="9" t="inlineStr">
        <is>
          <t>none</t>
        </is>
      </c>
      <c r="H198" s="9" t="inlineStr">
        <is>
          <t>no</t>
        </is>
      </c>
    </row>
    <row r="199">
      <c r="A199" s="9" t="n">
        <v>198</v>
      </c>
      <c r="B199" s="58" t="n">
        <v>46299</v>
      </c>
      <c r="C199" s="9" t="n">
        <v>1</v>
      </c>
      <c r="D199" s="9" t="inlineStr">
        <is>
          <t>price_clarity</t>
        </is>
      </c>
      <c r="E199" s="9" t="inlineStr">
        <is>
          <t>offer_not_honoured</t>
        </is>
      </c>
      <c r="F199" s="9" t="inlineStr">
        <is>
          <t>no</t>
        </is>
      </c>
      <c r="G199" s="9" t="inlineStr">
        <is>
          <t>medium</t>
        </is>
      </c>
      <c r="H199" s="9" t="inlineStr">
        <is>
          <t>no</t>
        </is>
      </c>
    </row>
    <row r="200">
      <c r="A200" s="9" t="n">
        <v>199</v>
      </c>
      <c r="B200" s="58" t="n">
        <v>46299</v>
      </c>
      <c r="C200" s="9" t="n">
        <v>1</v>
      </c>
      <c r="D200" s="9" t="inlineStr">
        <is>
          <t>partner_cancellation</t>
        </is>
      </c>
      <c r="E200" s="9" t="inlineStr">
        <is>
          <t>last_minute_cancel</t>
        </is>
      </c>
      <c r="F200" s="9" t="inlineStr">
        <is>
          <t>no</t>
        </is>
      </c>
      <c r="G200" s="9" t="inlineStr">
        <is>
          <t>medium</t>
        </is>
      </c>
      <c r="H200" s="9" t="inlineStr">
        <is>
          <t>no</t>
        </is>
      </c>
    </row>
    <row r="201">
      <c r="A201" s="9" t="n">
        <v>200</v>
      </c>
      <c r="B201" s="58" t="n">
        <v>46299</v>
      </c>
      <c r="C201" s="9" t="n">
        <v>5</v>
      </c>
      <c r="D201" s="9" t="inlineStr">
        <is>
          <t>praise</t>
        </is>
      </c>
      <c r="E201" s="9" t="inlineStr">
        <is>
          <t>praise_professional</t>
        </is>
      </c>
      <c r="F201" s="9" t="inlineStr">
        <is>
          <t>no</t>
        </is>
      </c>
      <c r="G201" s="9" t="inlineStr">
        <is>
          <t>none</t>
        </is>
      </c>
      <c r="H201" s="9" t="inlineStr">
        <is>
          <t>no</t>
        </is>
      </c>
    </row>
    <row r="202">
      <c r="A202" s="9" t="n">
        <v>201</v>
      </c>
      <c r="B202" s="58" t="n">
        <v>46299</v>
      </c>
      <c r="C202" s="9" t="n">
        <v>3</v>
      </c>
      <c r="D202" s="9" t="inlineStr">
        <is>
          <t>price_clarity</t>
        </is>
      </c>
      <c r="E202" s="9" t="inlineStr">
        <is>
          <t>membership_or_package_confusion</t>
        </is>
      </c>
      <c r="F202" s="9" t="inlineStr">
        <is>
          <t>no</t>
        </is>
      </c>
      <c r="G202" s="9" t="inlineStr">
        <is>
          <t>low</t>
        </is>
      </c>
      <c r="H202" s="9" t="inlineStr">
        <is>
          <t>no</t>
        </is>
      </c>
    </row>
    <row r="203">
      <c r="A203" s="9" t="n">
        <v>202</v>
      </c>
      <c r="B203" s="58" t="n">
        <v>46299</v>
      </c>
      <c r="C203" s="9" t="n">
        <v>3</v>
      </c>
      <c r="D203" s="9" t="inlineStr">
        <is>
          <t>service_quality</t>
        </is>
      </c>
      <c r="E203" s="9" t="inlineStr">
        <is>
          <t>poor_skill</t>
        </is>
      </c>
      <c r="F203" s="9" t="inlineStr">
        <is>
          <t>no</t>
        </is>
      </c>
      <c r="G203" s="9" t="inlineStr">
        <is>
          <t>low</t>
        </is>
      </c>
      <c r="H203" s="9" t="inlineStr">
        <is>
          <t>no</t>
        </is>
      </c>
    </row>
    <row r="204">
      <c r="A204" s="9" t="n">
        <v>203</v>
      </c>
      <c r="B204" s="58" t="n">
        <v>46299</v>
      </c>
      <c r="C204" s="9" t="n">
        <v>1</v>
      </c>
      <c r="D204" s="9" t="inlineStr">
        <is>
          <t>support</t>
        </is>
      </c>
      <c r="E204" s="9" t="inlineStr">
        <is>
          <t>unhelpful_or_scripted</t>
        </is>
      </c>
      <c r="F204" s="9" t="inlineStr">
        <is>
          <t>yes</t>
        </is>
      </c>
      <c r="G204" s="9" t="inlineStr">
        <is>
          <t>medium</t>
        </is>
      </c>
      <c r="H204" s="9" t="inlineStr">
        <is>
          <t>no</t>
        </is>
      </c>
    </row>
    <row r="205">
      <c r="A205" s="9" t="n">
        <v>204</v>
      </c>
      <c r="B205" s="58" t="n">
        <v>46299</v>
      </c>
      <c r="C205" s="9" t="n">
        <v>5</v>
      </c>
      <c r="D205" s="9" t="inlineStr">
        <is>
          <t>praise</t>
        </is>
      </c>
      <c r="E205" s="9" t="inlineStr">
        <is>
          <t>praise_service</t>
        </is>
      </c>
      <c r="F205" s="9" t="inlineStr">
        <is>
          <t>no</t>
        </is>
      </c>
      <c r="G205" s="9" t="inlineStr">
        <is>
          <t>none</t>
        </is>
      </c>
      <c r="H205" s="9" t="inlineStr">
        <is>
          <t>no</t>
        </is>
      </c>
    </row>
    <row r="206">
      <c r="A206" s="9" t="n">
        <v>205</v>
      </c>
      <c r="B206" s="58" t="n">
        <v>46299</v>
      </c>
      <c r="C206" s="9" t="n">
        <v>5</v>
      </c>
      <c r="D206" s="9" t="inlineStr">
        <is>
          <t>praise</t>
        </is>
      </c>
      <c r="E206" s="9" t="inlineStr">
        <is>
          <t>praise_value</t>
        </is>
      </c>
      <c r="F206" s="9" t="inlineStr">
        <is>
          <t>no</t>
        </is>
      </c>
      <c r="G206" s="9" t="inlineStr">
        <is>
          <t>none</t>
        </is>
      </c>
      <c r="H206" s="9" t="inlineStr">
        <is>
          <t>no</t>
        </is>
      </c>
    </row>
    <row r="207">
      <c r="A207" s="9" t="n">
        <v>206</v>
      </c>
      <c r="B207" s="58" t="n">
        <v>46299</v>
      </c>
      <c r="C207" s="9" t="n">
        <v>2</v>
      </c>
      <c r="D207" s="9" t="inlineStr">
        <is>
          <t>partner_cancellation</t>
        </is>
      </c>
      <c r="E207" s="9" t="inlineStr">
        <is>
          <t>no_partner_available</t>
        </is>
      </c>
      <c r="F207" s="9" t="inlineStr">
        <is>
          <t>yes</t>
        </is>
      </c>
      <c r="G207" s="9" t="inlineStr">
        <is>
          <t>medium</t>
        </is>
      </c>
      <c r="H207" s="9" t="inlineStr">
        <is>
          <t>no</t>
        </is>
      </c>
    </row>
    <row r="208">
      <c r="A208" s="9" t="n">
        <v>207</v>
      </c>
      <c r="B208" s="58" t="n">
        <v>46299</v>
      </c>
      <c r="C208" s="9" t="n">
        <v>5</v>
      </c>
      <c r="D208" s="9" t="inlineStr">
        <is>
          <t>praise</t>
        </is>
      </c>
      <c r="E208" s="9" t="inlineStr">
        <is>
          <t>praise_service</t>
        </is>
      </c>
      <c r="F208" s="9" t="inlineStr">
        <is>
          <t>no</t>
        </is>
      </c>
      <c r="G208" s="9" t="inlineStr">
        <is>
          <t>none</t>
        </is>
      </c>
      <c r="H208" s="9" t="inlineStr">
        <is>
          <t>no</t>
        </is>
      </c>
    </row>
    <row r="209">
      <c r="A209" s="9" t="n">
        <v>208</v>
      </c>
      <c r="B209" s="58" t="n">
        <v>46299</v>
      </c>
      <c r="C209" s="9" t="n">
        <v>5</v>
      </c>
      <c r="D209" s="9" t="inlineStr">
        <is>
          <t>praise</t>
        </is>
      </c>
      <c r="E209" s="9" t="inlineStr">
        <is>
          <t>praise_service</t>
        </is>
      </c>
      <c r="F209" s="9" t="inlineStr">
        <is>
          <t>no</t>
        </is>
      </c>
      <c r="G209" s="9" t="inlineStr">
        <is>
          <t>none</t>
        </is>
      </c>
      <c r="H209" s="9" t="inlineStr">
        <is>
          <t>no</t>
        </is>
      </c>
    </row>
    <row r="210">
      <c r="A210" s="9" t="n">
        <v>209</v>
      </c>
      <c r="B210" s="58" t="n">
        <v>46298</v>
      </c>
      <c r="C210" s="9" t="n">
        <v>5</v>
      </c>
      <c r="D210" s="9" t="inlineStr">
        <is>
          <t>praise</t>
        </is>
      </c>
      <c r="E210" s="9" t="inlineStr">
        <is>
          <t>praise_service</t>
        </is>
      </c>
      <c r="F210" s="9" t="inlineStr">
        <is>
          <t>no</t>
        </is>
      </c>
      <c r="G210" s="9" t="inlineStr">
        <is>
          <t>none</t>
        </is>
      </c>
      <c r="H210" s="9" t="inlineStr">
        <is>
          <t>no</t>
        </is>
      </c>
    </row>
    <row r="211">
      <c r="A211" s="9" t="n">
        <v>210</v>
      </c>
      <c r="B211" s="58" t="n">
        <v>46298</v>
      </c>
      <c r="C211" s="9" t="n">
        <v>1</v>
      </c>
      <c r="D211" s="9" t="inlineStr">
        <is>
          <t>payment_refund</t>
        </is>
      </c>
      <c r="E211" s="9" t="inlineStr">
        <is>
          <t>charged_not_served</t>
        </is>
      </c>
      <c r="F211" s="9" t="inlineStr">
        <is>
          <t>no</t>
        </is>
      </c>
      <c r="G211" s="9" t="inlineStr">
        <is>
          <t>high</t>
        </is>
      </c>
      <c r="H211" s="9" t="inlineStr">
        <is>
          <t>no</t>
        </is>
      </c>
    </row>
    <row r="212">
      <c r="A212" s="9" t="n">
        <v>211</v>
      </c>
      <c r="B212" s="58" t="n">
        <v>46298</v>
      </c>
      <c r="C212" s="9" t="n">
        <v>1</v>
      </c>
      <c r="D212" s="9" t="inlineStr">
        <is>
          <t>other</t>
        </is>
      </c>
      <c r="E212" s="9" t="inlineStr">
        <is>
          <t>unclear</t>
        </is>
      </c>
      <c r="F212" s="9" t="inlineStr">
        <is>
          <t>no</t>
        </is>
      </c>
      <c r="G212" s="9" t="inlineStr">
        <is>
          <t>low</t>
        </is>
      </c>
      <c r="H212" s="9" t="inlineStr">
        <is>
          <t>no</t>
        </is>
      </c>
    </row>
    <row r="213">
      <c r="A213" s="9" t="n">
        <v>212</v>
      </c>
      <c r="B213" s="58" t="n">
        <v>46298</v>
      </c>
      <c r="C213" s="9" t="n">
        <v>5</v>
      </c>
      <c r="D213" s="9" t="inlineStr">
        <is>
          <t>praise</t>
        </is>
      </c>
      <c r="E213" s="9" t="inlineStr">
        <is>
          <t>praise_value</t>
        </is>
      </c>
      <c r="F213" s="9" t="inlineStr">
        <is>
          <t>no</t>
        </is>
      </c>
      <c r="G213" s="9" t="inlineStr">
        <is>
          <t>none</t>
        </is>
      </c>
      <c r="H213" s="9" t="inlineStr">
        <is>
          <t>no</t>
        </is>
      </c>
    </row>
    <row r="214">
      <c r="A214" s="9" t="n">
        <v>213</v>
      </c>
      <c r="B214" s="58" t="n">
        <v>46298</v>
      </c>
      <c r="C214" s="9" t="n">
        <v>5</v>
      </c>
      <c r="D214" s="9" t="inlineStr">
        <is>
          <t>praise</t>
        </is>
      </c>
      <c r="E214" s="9" t="inlineStr">
        <is>
          <t>praise_service</t>
        </is>
      </c>
      <c r="F214" s="9" t="inlineStr">
        <is>
          <t>no</t>
        </is>
      </c>
      <c r="G214" s="9" t="inlineStr">
        <is>
          <t>none</t>
        </is>
      </c>
      <c r="H214" s="9" t="inlineStr">
        <is>
          <t>no</t>
        </is>
      </c>
    </row>
    <row r="215">
      <c r="A215" s="9" t="n">
        <v>214</v>
      </c>
      <c r="B215" s="58" t="n">
        <v>46298</v>
      </c>
      <c r="C215" s="9" t="n">
        <v>5</v>
      </c>
      <c r="D215" s="9" t="inlineStr">
        <is>
          <t>praise</t>
        </is>
      </c>
      <c r="E215" s="9" t="inlineStr">
        <is>
          <t>praise_service</t>
        </is>
      </c>
      <c r="F215" s="9" t="inlineStr">
        <is>
          <t>no</t>
        </is>
      </c>
      <c r="G215" s="9" t="inlineStr">
        <is>
          <t>none</t>
        </is>
      </c>
      <c r="H215" s="9" t="inlineStr">
        <is>
          <t>no</t>
        </is>
      </c>
    </row>
    <row r="216">
      <c r="A216" s="9" t="n">
        <v>215</v>
      </c>
      <c r="B216" s="58" t="n">
        <v>46298</v>
      </c>
      <c r="C216" s="9" t="n">
        <v>5</v>
      </c>
      <c r="D216" s="9" t="inlineStr">
        <is>
          <t>praise</t>
        </is>
      </c>
      <c r="E216" s="9" t="inlineStr">
        <is>
          <t>praise_service</t>
        </is>
      </c>
      <c r="F216" s="9" t="inlineStr">
        <is>
          <t>no</t>
        </is>
      </c>
      <c r="G216" s="9" t="inlineStr">
        <is>
          <t>none</t>
        </is>
      </c>
      <c r="H216" s="9" t="inlineStr">
        <is>
          <t>no</t>
        </is>
      </c>
    </row>
    <row r="217">
      <c r="A217" s="9" t="n">
        <v>216</v>
      </c>
      <c r="B217" s="58" t="n">
        <v>46298</v>
      </c>
      <c r="C217" s="9" t="n">
        <v>1</v>
      </c>
      <c r="D217" s="9" t="inlineStr">
        <is>
          <t>support</t>
        </is>
      </c>
      <c r="E217" s="9" t="inlineStr">
        <is>
          <t>unreachable</t>
        </is>
      </c>
      <c r="F217" s="9" t="inlineStr">
        <is>
          <t>yes</t>
        </is>
      </c>
      <c r="G217" s="9" t="inlineStr">
        <is>
          <t>medium</t>
        </is>
      </c>
      <c r="H217" s="9" t="inlineStr">
        <is>
          <t>no</t>
        </is>
      </c>
    </row>
    <row r="218">
      <c r="A218" s="9" t="n">
        <v>217</v>
      </c>
      <c r="B218" s="58" t="n">
        <v>46298</v>
      </c>
      <c r="C218" s="9" t="n">
        <v>4</v>
      </c>
      <c r="D218" s="9" t="inlineStr">
        <is>
          <t>praise</t>
        </is>
      </c>
      <c r="E218" s="9" t="inlineStr">
        <is>
          <t>praise_service</t>
        </is>
      </c>
      <c r="F218" s="9" t="inlineStr">
        <is>
          <t>no</t>
        </is>
      </c>
      <c r="G218" s="9" t="inlineStr">
        <is>
          <t>none</t>
        </is>
      </c>
      <c r="H218" s="9" t="inlineStr">
        <is>
          <t>no</t>
        </is>
      </c>
    </row>
    <row r="219">
      <c r="A219" s="9" t="n">
        <v>218</v>
      </c>
      <c r="B219" s="58" t="n">
        <v>46298</v>
      </c>
      <c r="C219" s="9" t="n">
        <v>1</v>
      </c>
      <c r="D219" s="9" t="inlineStr">
        <is>
          <t>product_fit</t>
        </is>
      </c>
      <c r="E219" s="9" t="inlineStr">
        <is>
          <t>product_quality</t>
        </is>
      </c>
      <c r="F219" s="9" t="inlineStr">
        <is>
          <t>yes</t>
        </is>
      </c>
      <c r="G219" s="9" t="inlineStr">
        <is>
          <t>medium</t>
        </is>
      </c>
      <c r="H219" s="9" t="inlineStr">
        <is>
          <t>no</t>
        </is>
      </c>
    </row>
    <row r="220">
      <c r="A220" s="9" t="n">
        <v>219</v>
      </c>
      <c r="B220" s="58" t="n">
        <v>46298</v>
      </c>
      <c r="C220" s="9" t="n">
        <v>3</v>
      </c>
      <c r="D220" s="9" t="inlineStr">
        <is>
          <t>service_quality</t>
        </is>
      </c>
      <c r="E220" s="9" t="inlineStr">
        <is>
          <t>rushed_or_incomplete</t>
        </is>
      </c>
      <c r="F220" s="9" t="inlineStr">
        <is>
          <t>no</t>
        </is>
      </c>
      <c r="G220" s="9" t="inlineStr">
        <is>
          <t>low</t>
        </is>
      </c>
      <c r="H220" s="9" t="inlineStr">
        <is>
          <t>no</t>
        </is>
      </c>
    </row>
    <row r="221">
      <c r="A221" s="9" t="n">
        <v>220</v>
      </c>
      <c r="B221" s="58" t="n">
        <v>46298</v>
      </c>
      <c r="C221" s="9" t="n">
        <v>5</v>
      </c>
      <c r="D221" s="9" t="inlineStr">
        <is>
          <t>praise</t>
        </is>
      </c>
      <c r="E221" s="9" t="inlineStr">
        <is>
          <t>praise_professional</t>
        </is>
      </c>
      <c r="F221" s="9" t="inlineStr">
        <is>
          <t>no</t>
        </is>
      </c>
      <c r="G221" s="9" t="inlineStr">
        <is>
          <t>none</t>
        </is>
      </c>
      <c r="H221" s="9" t="inlineStr">
        <is>
          <t>no</t>
        </is>
      </c>
    </row>
    <row r="222">
      <c r="A222" s="9" t="n">
        <v>221</v>
      </c>
      <c r="B222" s="58" t="n">
        <v>46298</v>
      </c>
      <c r="C222" s="9" t="n">
        <v>4</v>
      </c>
      <c r="D222" s="9" t="inlineStr">
        <is>
          <t>service_quality</t>
        </is>
      </c>
      <c r="E222" s="9" t="inlineStr">
        <is>
          <t>poor_skill</t>
        </is>
      </c>
      <c r="F222" s="9" t="inlineStr">
        <is>
          <t>no</t>
        </is>
      </c>
      <c r="G222" s="9" t="inlineStr">
        <is>
          <t>medium</t>
        </is>
      </c>
      <c r="H222" s="9" t="inlineStr">
        <is>
          <t>no</t>
        </is>
      </c>
    </row>
    <row r="223">
      <c r="A223" s="9" t="n">
        <v>222</v>
      </c>
      <c r="B223" s="58" t="n">
        <v>46298</v>
      </c>
      <c r="C223" s="9" t="n">
        <v>2</v>
      </c>
      <c r="D223" s="9" t="inlineStr">
        <is>
          <t>product_fit</t>
        </is>
      </c>
      <c r="E223" s="9" t="inlineStr">
        <is>
          <t>product_quality</t>
        </is>
      </c>
      <c r="F223" s="9" t="inlineStr">
        <is>
          <t>no</t>
        </is>
      </c>
      <c r="G223" s="9" t="inlineStr">
        <is>
          <t>medium</t>
        </is>
      </c>
      <c r="H223" s="9" t="inlineStr">
        <is>
          <t>no</t>
        </is>
      </c>
    </row>
    <row r="224">
      <c r="A224" s="9" t="n">
        <v>223</v>
      </c>
      <c r="B224" s="58" t="n">
        <v>46298</v>
      </c>
      <c r="C224" s="9" t="n">
        <v>1</v>
      </c>
      <c r="D224" s="9" t="inlineStr">
        <is>
          <t>support</t>
        </is>
      </c>
      <c r="E224" s="9" t="inlineStr">
        <is>
          <t>unhelpful_or_scripted</t>
        </is>
      </c>
      <c r="F224" s="9" t="inlineStr">
        <is>
          <t>yes</t>
        </is>
      </c>
      <c r="G224" s="9" t="inlineStr">
        <is>
          <t>low</t>
        </is>
      </c>
      <c r="H224" s="9" t="inlineStr">
        <is>
          <t>no</t>
        </is>
      </c>
    </row>
    <row r="225">
      <c r="A225" s="9" t="n">
        <v>224</v>
      </c>
      <c r="B225" s="58" t="n">
        <v>46298</v>
      </c>
      <c r="C225" s="9" t="n">
        <v>2</v>
      </c>
      <c r="D225" s="9" t="inlineStr">
        <is>
          <t>app</t>
        </is>
      </c>
      <c r="E225" s="9" t="inlineStr">
        <is>
          <t>crash_or_wont_open</t>
        </is>
      </c>
      <c r="F225" s="9" t="inlineStr">
        <is>
          <t>no</t>
        </is>
      </c>
      <c r="G225" s="9" t="inlineStr">
        <is>
          <t>low</t>
        </is>
      </c>
      <c r="H225" s="9" t="inlineStr">
        <is>
          <t>no</t>
        </is>
      </c>
    </row>
    <row r="226">
      <c r="A226" s="9" t="n">
        <v>225</v>
      </c>
      <c r="B226" s="58" t="n">
        <v>46297</v>
      </c>
      <c r="C226" s="9" t="n">
        <v>5</v>
      </c>
      <c r="D226" s="9" t="inlineStr">
        <is>
          <t>praise</t>
        </is>
      </c>
      <c r="E226" s="9" t="inlineStr">
        <is>
          <t>praise_service</t>
        </is>
      </c>
      <c r="F226" s="9" t="inlineStr">
        <is>
          <t>no</t>
        </is>
      </c>
      <c r="G226" s="9" t="inlineStr">
        <is>
          <t>none</t>
        </is>
      </c>
      <c r="H226" s="9" t="inlineStr">
        <is>
          <t>no</t>
        </is>
      </c>
    </row>
    <row r="227">
      <c r="A227" s="9" t="n">
        <v>226</v>
      </c>
      <c r="B227" s="58" t="n">
        <v>46297</v>
      </c>
      <c r="C227" s="9" t="n">
        <v>4</v>
      </c>
      <c r="D227" s="9" t="inlineStr">
        <is>
          <t>other</t>
        </is>
      </c>
      <c r="E227" s="9" t="inlineStr">
        <is>
          <t>other_issue</t>
        </is>
      </c>
      <c r="F227" s="9" t="inlineStr">
        <is>
          <t>no</t>
        </is>
      </c>
      <c r="G227" s="9" t="inlineStr">
        <is>
          <t>low</t>
        </is>
      </c>
      <c r="H227" s="9" t="inlineStr">
        <is>
          <t>no</t>
        </is>
      </c>
    </row>
    <row r="228">
      <c r="A228" s="9" t="n">
        <v>227</v>
      </c>
      <c r="B228" s="58" t="n">
        <v>46297</v>
      </c>
      <c r="C228" s="9" t="n">
        <v>5</v>
      </c>
      <c r="D228" s="9" t="inlineStr">
        <is>
          <t>praise</t>
        </is>
      </c>
      <c r="E228" s="9" t="inlineStr">
        <is>
          <t>praise_service</t>
        </is>
      </c>
      <c r="F228" s="9" t="inlineStr">
        <is>
          <t>no</t>
        </is>
      </c>
      <c r="G228" s="9" t="inlineStr">
        <is>
          <t>none</t>
        </is>
      </c>
      <c r="H228" s="9" t="inlineStr">
        <is>
          <t>no</t>
        </is>
      </c>
    </row>
    <row r="229">
      <c r="A229" s="9" t="n">
        <v>228</v>
      </c>
      <c r="B229" s="58" t="n">
        <v>46297</v>
      </c>
      <c r="C229" s="9" t="n">
        <v>2</v>
      </c>
      <c r="D229" s="9" t="inlineStr">
        <is>
          <t>product_fit</t>
        </is>
      </c>
      <c r="E229" s="9" t="inlineStr">
        <is>
          <t>product_upsell</t>
        </is>
      </c>
      <c r="F229" s="9" t="inlineStr">
        <is>
          <t>no</t>
        </is>
      </c>
      <c r="G229" s="9" t="inlineStr">
        <is>
          <t>medium</t>
        </is>
      </c>
      <c r="H229" s="9" t="inlineStr">
        <is>
          <t>no</t>
        </is>
      </c>
    </row>
    <row r="230">
      <c r="A230" s="9" t="n">
        <v>229</v>
      </c>
      <c r="B230" s="58" t="n">
        <v>46297</v>
      </c>
      <c r="C230" s="9" t="n">
        <v>3</v>
      </c>
      <c r="D230" s="9" t="inlineStr">
        <is>
          <t>price_clarity</t>
        </is>
      </c>
      <c r="E230" s="9" t="inlineStr">
        <is>
          <t>price_mismatch</t>
        </is>
      </c>
      <c r="F230" s="9" t="inlineStr">
        <is>
          <t>no</t>
        </is>
      </c>
      <c r="G230" s="9" t="inlineStr">
        <is>
          <t>low</t>
        </is>
      </c>
      <c r="H230" s="9" t="inlineStr">
        <is>
          <t>no</t>
        </is>
      </c>
    </row>
    <row r="231">
      <c r="A231" s="9" t="n">
        <v>230</v>
      </c>
      <c r="B231" s="58" t="n">
        <v>46297</v>
      </c>
      <c r="C231" s="9" t="n">
        <v>1</v>
      </c>
      <c r="D231" s="9" t="inlineStr">
        <is>
          <t>price_clarity</t>
        </is>
      </c>
      <c r="E231" s="9" t="inlineStr">
        <is>
          <t>price_mismatch</t>
        </is>
      </c>
      <c r="F231" s="9" t="inlineStr">
        <is>
          <t>no</t>
        </is>
      </c>
      <c r="G231" s="9" t="inlineStr">
        <is>
          <t>low</t>
        </is>
      </c>
      <c r="H231" s="9" t="inlineStr">
        <is>
          <t>no</t>
        </is>
      </c>
    </row>
    <row r="232">
      <c r="A232" s="9" t="n">
        <v>231</v>
      </c>
      <c r="B232" s="58" t="n">
        <v>46297</v>
      </c>
      <c r="C232" s="9" t="n">
        <v>1</v>
      </c>
      <c r="D232" s="9" t="inlineStr">
        <is>
          <t>price_clarity</t>
        </is>
      </c>
      <c r="E232" s="9" t="inlineStr">
        <is>
          <t>offer_not_honoured</t>
        </is>
      </c>
      <c r="F232" s="9" t="inlineStr">
        <is>
          <t>no</t>
        </is>
      </c>
      <c r="G232" s="9" t="inlineStr">
        <is>
          <t>medium</t>
        </is>
      </c>
      <c r="H232" s="9" t="inlineStr">
        <is>
          <t>no</t>
        </is>
      </c>
    </row>
    <row r="233">
      <c r="A233" s="9" t="n">
        <v>232</v>
      </c>
      <c r="B233" s="58" t="n">
        <v>46297</v>
      </c>
      <c r="C233" s="9" t="n">
        <v>5</v>
      </c>
      <c r="D233" s="9" t="inlineStr">
        <is>
          <t>praise</t>
        </is>
      </c>
      <c r="E233" s="9" t="inlineStr">
        <is>
          <t>praise_professional</t>
        </is>
      </c>
      <c r="F233" s="9" t="inlineStr">
        <is>
          <t>no</t>
        </is>
      </c>
      <c r="G233" s="9" t="inlineStr">
        <is>
          <t>none</t>
        </is>
      </c>
      <c r="H233" s="9" t="inlineStr">
        <is>
          <t>no</t>
        </is>
      </c>
    </row>
    <row r="234">
      <c r="A234" s="9" t="n">
        <v>233</v>
      </c>
      <c r="B234" s="58" t="n">
        <v>46297</v>
      </c>
      <c r="C234" s="9" t="n">
        <v>5</v>
      </c>
      <c r="D234" s="9" t="inlineStr">
        <is>
          <t>praise</t>
        </is>
      </c>
      <c r="E234" s="9" t="inlineStr">
        <is>
          <t>praise_professional</t>
        </is>
      </c>
      <c r="F234" s="9" t="inlineStr">
        <is>
          <t>no</t>
        </is>
      </c>
      <c r="G234" s="9" t="inlineStr">
        <is>
          <t>none</t>
        </is>
      </c>
      <c r="H234" s="9" t="inlineStr">
        <is>
          <t>no</t>
        </is>
      </c>
    </row>
    <row r="235">
      <c r="A235" s="9" t="n">
        <v>234</v>
      </c>
      <c r="B235" s="58" t="n">
        <v>46297</v>
      </c>
      <c r="C235" s="9" t="n">
        <v>5</v>
      </c>
      <c r="D235" s="9" t="inlineStr">
        <is>
          <t>praise</t>
        </is>
      </c>
      <c r="E235" s="9" t="inlineStr">
        <is>
          <t>praise_service</t>
        </is>
      </c>
      <c r="F235" s="9" t="inlineStr">
        <is>
          <t>no</t>
        </is>
      </c>
      <c r="G235" s="9" t="inlineStr">
        <is>
          <t>none</t>
        </is>
      </c>
      <c r="H235" s="9" t="inlineStr">
        <is>
          <t>no</t>
        </is>
      </c>
    </row>
    <row r="236">
      <c r="A236" s="9" t="n">
        <v>235</v>
      </c>
      <c r="B236" s="58" t="n">
        <v>46297</v>
      </c>
      <c r="C236" s="9" t="n">
        <v>5</v>
      </c>
      <c r="D236" s="9" t="inlineStr">
        <is>
          <t>praise</t>
        </is>
      </c>
      <c r="E236" s="9" t="inlineStr">
        <is>
          <t>praise_service</t>
        </is>
      </c>
      <c r="F236" s="9" t="inlineStr">
        <is>
          <t>no</t>
        </is>
      </c>
      <c r="G236" s="9" t="inlineStr">
        <is>
          <t>none</t>
        </is>
      </c>
      <c r="H236" s="9" t="inlineStr">
        <is>
          <t>no</t>
        </is>
      </c>
    </row>
    <row r="237">
      <c r="A237" s="9" t="n">
        <v>236</v>
      </c>
      <c r="B237" s="58" t="n">
        <v>46297</v>
      </c>
      <c r="C237" s="9" t="n">
        <v>5</v>
      </c>
      <c r="D237" s="9" t="inlineStr">
        <is>
          <t>praise</t>
        </is>
      </c>
      <c r="E237" s="9" t="inlineStr">
        <is>
          <t>praise_service</t>
        </is>
      </c>
      <c r="F237" s="9" t="inlineStr">
        <is>
          <t>no</t>
        </is>
      </c>
      <c r="G237" s="9" t="inlineStr">
        <is>
          <t>none</t>
        </is>
      </c>
      <c r="H237" s="9" t="inlineStr">
        <is>
          <t>no</t>
        </is>
      </c>
    </row>
    <row r="238">
      <c r="A238" s="9" t="n">
        <v>237</v>
      </c>
      <c r="B238" s="58" t="n">
        <v>46297</v>
      </c>
      <c r="C238" s="9" t="n">
        <v>5</v>
      </c>
      <c r="D238" s="9" t="inlineStr">
        <is>
          <t>praise</t>
        </is>
      </c>
      <c r="E238" s="9" t="inlineStr">
        <is>
          <t>praise_service</t>
        </is>
      </c>
      <c r="F238" s="9" t="inlineStr">
        <is>
          <t>no</t>
        </is>
      </c>
      <c r="G238" s="9" t="inlineStr">
        <is>
          <t>none</t>
        </is>
      </c>
      <c r="H238" s="9" t="inlineStr">
        <is>
          <t>no</t>
        </is>
      </c>
    </row>
    <row r="239">
      <c r="A239" s="9" t="n">
        <v>238</v>
      </c>
      <c r="B239" s="58" t="n">
        <v>46297</v>
      </c>
      <c r="C239" s="9" t="n">
        <v>1</v>
      </c>
      <c r="D239" s="9" t="inlineStr">
        <is>
          <t>service_quality</t>
        </is>
      </c>
      <c r="E239" s="9" t="inlineStr">
        <is>
          <t>poor_skill</t>
        </is>
      </c>
      <c r="F239" s="9" t="inlineStr">
        <is>
          <t>no</t>
        </is>
      </c>
      <c r="G239" s="9" t="inlineStr">
        <is>
          <t>medium</t>
        </is>
      </c>
      <c r="H239" s="9" t="inlineStr">
        <is>
          <t>no</t>
        </is>
      </c>
    </row>
    <row r="240">
      <c r="A240" s="9" t="n">
        <v>239</v>
      </c>
      <c r="B240" s="58" t="n">
        <v>46297</v>
      </c>
      <c r="C240" s="9" t="n">
        <v>1</v>
      </c>
      <c r="D240" s="9" t="inlineStr">
        <is>
          <t>support</t>
        </is>
      </c>
      <c r="E240" s="9" t="inlineStr">
        <is>
          <t>no_escalation</t>
        </is>
      </c>
      <c r="F240" s="9" t="inlineStr">
        <is>
          <t>yes</t>
        </is>
      </c>
      <c r="G240" s="9" t="inlineStr">
        <is>
          <t>medium</t>
        </is>
      </c>
      <c r="H240" s="9" t="inlineStr">
        <is>
          <t>no</t>
        </is>
      </c>
    </row>
    <row r="241">
      <c r="A241" s="9" t="n">
        <v>240</v>
      </c>
      <c r="B241" s="58" t="n">
        <v>46296</v>
      </c>
      <c r="C241" s="9" t="n">
        <v>5</v>
      </c>
      <c r="D241" s="9" t="inlineStr">
        <is>
          <t>praise</t>
        </is>
      </c>
      <c r="E241" s="9" t="inlineStr">
        <is>
          <t>praise_professional</t>
        </is>
      </c>
      <c r="F241" s="9" t="inlineStr">
        <is>
          <t>no</t>
        </is>
      </c>
      <c r="G241" s="9" t="inlineStr">
        <is>
          <t>none</t>
        </is>
      </c>
      <c r="H241" s="9" t="inlineStr">
        <is>
          <t>no</t>
        </is>
      </c>
    </row>
    <row r="242">
      <c r="A242" s="9" t="n">
        <v>241</v>
      </c>
      <c r="B242" s="58" t="n">
        <v>46296</v>
      </c>
      <c r="C242" s="9" t="n">
        <v>5</v>
      </c>
      <c r="D242" s="9" t="inlineStr">
        <is>
          <t>praise</t>
        </is>
      </c>
      <c r="E242" s="9" t="inlineStr">
        <is>
          <t>praise_service</t>
        </is>
      </c>
      <c r="F242" s="9" t="inlineStr">
        <is>
          <t>no</t>
        </is>
      </c>
      <c r="G242" s="9" t="inlineStr">
        <is>
          <t>none</t>
        </is>
      </c>
      <c r="H242" s="9" t="inlineStr">
        <is>
          <t>no</t>
        </is>
      </c>
    </row>
    <row r="243">
      <c r="A243" s="9" t="n">
        <v>242</v>
      </c>
      <c r="B243" s="58" t="n">
        <v>46296</v>
      </c>
      <c r="C243" s="9" t="n">
        <v>5</v>
      </c>
      <c r="D243" s="9" t="inlineStr">
        <is>
          <t>praise</t>
        </is>
      </c>
      <c r="E243" s="9" t="inlineStr">
        <is>
          <t>praise_service</t>
        </is>
      </c>
      <c r="F243" s="9" t="inlineStr">
        <is>
          <t>no</t>
        </is>
      </c>
      <c r="G243" s="9" t="inlineStr">
        <is>
          <t>none</t>
        </is>
      </c>
      <c r="H243" s="9" t="inlineStr">
        <is>
          <t>no</t>
        </is>
      </c>
    </row>
    <row r="244">
      <c r="A244" s="9" t="n">
        <v>243</v>
      </c>
      <c r="B244" s="58" t="n">
        <v>46296</v>
      </c>
      <c r="C244" s="9" t="n">
        <v>5</v>
      </c>
      <c r="D244" s="9" t="inlineStr">
        <is>
          <t>praise</t>
        </is>
      </c>
      <c r="E244" s="9" t="inlineStr">
        <is>
          <t>praise_service</t>
        </is>
      </c>
      <c r="F244" s="9" t="inlineStr">
        <is>
          <t>no</t>
        </is>
      </c>
      <c r="G244" s="9" t="inlineStr">
        <is>
          <t>none</t>
        </is>
      </c>
      <c r="H244" s="9" t="inlineStr">
        <is>
          <t>no</t>
        </is>
      </c>
    </row>
    <row r="245">
      <c r="A245" s="9" t="n">
        <v>244</v>
      </c>
      <c r="B245" s="58" t="n">
        <v>46296</v>
      </c>
      <c r="C245" s="9" t="n">
        <v>1</v>
      </c>
      <c r="D245" s="9" t="inlineStr">
        <is>
          <t>service_quality</t>
        </is>
      </c>
      <c r="E245" s="9" t="inlineStr">
        <is>
          <t>poor_skill</t>
        </is>
      </c>
      <c r="F245" s="9" t="inlineStr">
        <is>
          <t>no</t>
        </is>
      </c>
      <c r="G245" s="9" t="inlineStr">
        <is>
          <t>high</t>
        </is>
      </c>
      <c r="H245" s="9" t="inlineStr">
        <is>
          <t>yes</t>
        </is>
      </c>
    </row>
    <row r="246">
      <c r="A246" s="9" t="n">
        <v>245</v>
      </c>
      <c r="B246" s="58" t="n">
        <v>46296</v>
      </c>
      <c r="C246" s="9" t="n">
        <v>5</v>
      </c>
      <c r="D246" s="9" t="inlineStr">
        <is>
          <t>praise</t>
        </is>
      </c>
      <c r="E246" s="9" t="inlineStr">
        <is>
          <t>praise_service</t>
        </is>
      </c>
      <c r="F246" s="9" t="inlineStr">
        <is>
          <t>no</t>
        </is>
      </c>
      <c r="G246" s="9" t="inlineStr">
        <is>
          <t>none</t>
        </is>
      </c>
      <c r="H246" s="9" t="inlineStr">
        <is>
          <t>no</t>
        </is>
      </c>
    </row>
    <row r="247">
      <c r="A247" s="9" t="n">
        <v>246</v>
      </c>
      <c r="B247" s="58" t="n">
        <v>46296</v>
      </c>
      <c r="C247" s="9" t="n">
        <v>5</v>
      </c>
      <c r="D247" s="9" t="inlineStr">
        <is>
          <t>praise</t>
        </is>
      </c>
      <c r="E247" s="9" t="inlineStr">
        <is>
          <t>praise_service</t>
        </is>
      </c>
      <c r="F247" s="9" t="inlineStr">
        <is>
          <t>no</t>
        </is>
      </c>
      <c r="G247" s="9" t="inlineStr">
        <is>
          <t>none</t>
        </is>
      </c>
      <c r="H247" s="9" t="inlineStr">
        <is>
          <t>no</t>
        </is>
      </c>
    </row>
    <row r="248">
      <c r="A248" s="9" t="n">
        <v>247</v>
      </c>
      <c r="B248" s="58" t="n">
        <v>46295</v>
      </c>
      <c r="C248" s="9" t="n">
        <v>4</v>
      </c>
      <c r="D248" s="9" t="inlineStr">
        <is>
          <t>other</t>
        </is>
      </c>
      <c r="E248" s="9" t="inlineStr">
        <is>
          <t>other_issue</t>
        </is>
      </c>
      <c r="F248" s="9" t="inlineStr">
        <is>
          <t>no</t>
        </is>
      </c>
      <c r="G248" s="9" t="inlineStr">
        <is>
          <t>low</t>
        </is>
      </c>
      <c r="H248" s="9" t="inlineStr">
        <is>
          <t>no</t>
        </is>
      </c>
    </row>
    <row r="249">
      <c r="A249" s="9" t="n">
        <v>248</v>
      </c>
      <c r="B249" s="58" t="n">
        <v>46295</v>
      </c>
      <c r="C249" s="9" t="n">
        <v>5</v>
      </c>
      <c r="D249" s="9" t="inlineStr">
        <is>
          <t>praise</t>
        </is>
      </c>
      <c r="E249" s="9" t="inlineStr">
        <is>
          <t>praise_service</t>
        </is>
      </c>
      <c r="F249" s="9" t="inlineStr">
        <is>
          <t>no</t>
        </is>
      </c>
      <c r="G249" s="9" t="inlineStr">
        <is>
          <t>none</t>
        </is>
      </c>
      <c r="H249" s="9" t="inlineStr">
        <is>
          <t>no</t>
        </is>
      </c>
    </row>
    <row r="250">
      <c r="A250" s="9" t="n">
        <v>249</v>
      </c>
      <c r="B250" s="58" t="n">
        <v>46295</v>
      </c>
      <c r="C250" s="9" t="n">
        <v>1</v>
      </c>
      <c r="D250" s="9" t="inlineStr">
        <is>
          <t>product_fit</t>
        </is>
      </c>
      <c r="E250" s="9" t="inlineStr">
        <is>
          <t>product_quality</t>
        </is>
      </c>
      <c r="F250" s="9" t="inlineStr">
        <is>
          <t>no</t>
        </is>
      </c>
      <c r="G250" s="9" t="inlineStr">
        <is>
          <t>high</t>
        </is>
      </c>
      <c r="H250" s="9" t="inlineStr">
        <is>
          <t>no</t>
        </is>
      </c>
    </row>
    <row r="251">
      <c r="A251" s="9" t="n">
        <v>250</v>
      </c>
      <c r="B251" s="58" t="n">
        <v>46295</v>
      </c>
      <c r="C251" s="9" t="n">
        <v>5</v>
      </c>
      <c r="D251" s="9" t="inlineStr">
        <is>
          <t>praise</t>
        </is>
      </c>
      <c r="E251" s="9" t="inlineStr">
        <is>
          <t>praise_service</t>
        </is>
      </c>
      <c r="F251" s="9" t="inlineStr">
        <is>
          <t>no</t>
        </is>
      </c>
      <c r="G251" s="9" t="inlineStr">
        <is>
          <t>none</t>
        </is>
      </c>
      <c r="H251" s="9" t="inlineStr">
        <is>
          <t>no</t>
        </is>
      </c>
    </row>
    <row r="252">
      <c r="A252" s="9" t="n">
        <v>251</v>
      </c>
      <c r="B252" s="58" t="n">
        <v>46295</v>
      </c>
      <c r="C252" s="9" t="n">
        <v>2</v>
      </c>
      <c r="D252" s="9" t="inlineStr">
        <is>
          <t>service_quality</t>
        </is>
      </c>
      <c r="E252" s="9" t="inlineStr">
        <is>
          <t>safety_or_theft</t>
        </is>
      </c>
      <c r="F252" s="9" t="inlineStr">
        <is>
          <t>yes</t>
        </is>
      </c>
      <c r="G252" s="9" t="inlineStr">
        <is>
          <t>high</t>
        </is>
      </c>
      <c r="H252" s="9" t="inlineStr">
        <is>
          <t>no</t>
        </is>
      </c>
    </row>
    <row r="253">
      <c r="A253" s="9" t="n">
        <v>252</v>
      </c>
      <c r="B253" s="58" t="n">
        <v>46295</v>
      </c>
      <c r="C253" s="9" t="n">
        <v>5</v>
      </c>
      <c r="D253" s="9" t="inlineStr">
        <is>
          <t>praise</t>
        </is>
      </c>
      <c r="E253" s="9" t="inlineStr">
        <is>
          <t>praise_service</t>
        </is>
      </c>
      <c r="F253" s="9" t="inlineStr">
        <is>
          <t>no</t>
        </is>
      </c>
      <c r="G253" s="9" t="inlineStr">
        <is>
          <t>none</t>
        </is>
      </c>
      <c r="H253" s="9" t="inlineStr">
        <is>
          <t>no</t>
        </is>
      </c>
    </row>
    <row r="254">
      <c r="A254" s="9" t="n">
        <v>253</v>
      </c>
      <c r="B254" s="58" t="n">
        <v>46295</v>
      </c>
      <c r="C254" s="9" t="n">
        <v>2</v>
      </c>
      <c r="D254" s="9" t="inlineStr">
        <is>
          <t>service_quality</t>
        </is>
      </c>
      <c r="E254" s="9" t="inlineStr">
        <is>
          <t>rude_behaviour</t>
        </is>
      </c>
      <c r="F254" s="9" t="inlineStr">
        <is>
          <t>yes</t>
        </is>
      </c>
      <c r="G254" s="9" t="inlineStr">
        <is>
          <t>medium</t>
        </is>
      </c>
      <c r="H254" s="9" t="inlineStr">
        <is>
          <t>no</t>
        </is>
      </c>
    </row>
    <row r="255">
      <c r="A255" s="9" t="n">
        <v>254</v>
      </c>
      <c r="B255" s="58" t="n">
        <v>46295</v>
      </c>
      <c r="C255" s="9" t="n">
        <v>1</v>
      </c>
      <c r="D255" s="9" t="inlineStr">
        <is>
          <t>partner_cancellation</t>
        </is>
      </c>
      <c r="E255" s="9" t="inlineStr">
        <is>
          <t>last_minute_cancel</t>
        </is>
      </c>
      <c r="F255" s="9" t="inlineStr">
        <is>
          <t>yes</t>
        </is>
      </c>
      <c r="G255" s="9" t="inlineStr">
        <is>
          <t>medium</t>
        </is>
      </c>
      <c r="H255" s="9" t="inlineStr">
        <is>
          <t>no</t>
        </is>
      </c>
    </row>
    <row r="256">
      <c r="A256" s="9" t="n">
        <v>255</v>
      </c>
      <c r="B256" s="58" t="n">
        <v>46295</v>
      </c>
      <c r="C256" s="9" t="n">
        <v>5</v>
      </c>
      <c r="D256" s="9" t="inlineStr">
        <is>
          <t>praise</t>
        </is>
      </c>
      <c r="E256" s="9" t="inlineStr">
        <is>
          <t>praise_service</t>
        </is>
      </c>
      <c r="F256" s="9" t="inlineStr">
        <is>
          <t>no</t>
        </is>
      </c>
      <c r="G256" s="9" t="inlineStr">
        <is>
          <t>none</t>
        </is>
      </c>
      <c r="H256" s="9" t="inlineStr">
        <is>
          <t>no</t>
        </is>
      </c>
    </row>
    <row r="257">
      <c r="A257" s="9" t="n">
        <v>256</v>
      </c>
      <c r="B257" s="58" t="n">
        <v>46295</v>
      </c>
      <c r="C257" s="9" t="n">
        <v>5</v>
      </c>
      <c r="D257" s="9" t="inlineStr">
        <is>
          <t>praise</t>
        </is>
      </c>
      <c r="E257" s="9" t="inlineStr">
        <is>
          <t>praise_professional</t>
        </is>
      </c>
      <c r="F257" s="9" t="inlineStr">
        <is>
          <t>no</t>
        </is>
      </c>
      <c r="G257" s="9" t="inlineStr">
        <is>
          <t>none</t>
        </is>
      </c>
      <c r="H257" s="9" t="inlineStr">
        <is>
          <t>no</t>
        </is>
      </c>
    </row>
    <row r="258">
      <c r="A258" s="9" t="n">
        <v>257</v>
      </c>
      <c r="B258" s="58" t="n">
        <v>46295</v>
      </c>
      <c r="C258" s="9" t="n">
        <v>4</v>
      </c>
      <c r="D258" s="9" t="inlineStr">
        <is>
          <t>price_clarity</t>
        </is>
      </c>
      <c r="E258" s="9" t="inlineStr">
        <is>
          <t>price_mismatch</t>
        </is>
      </c>
      <c r="F258" s="9" t="inlineStr">
        <is>
          <t>no</t>
        </is>
      </c>
      <c r="G258" s="9" t="inlineStr">
        <is>
          <t>low</t>
        </is>
      </c>
      <c r="H258" s="9" t="inlineStr">
        <is>
          <t>no</t>
        </is>
      </c>
    </row>
    <row r="259">
      <c r="A259" s="9" t="n">
        <v>258</v>
      </c>
      <c r="B259" s="58" t="n">
        <v>46294</v>
      </c>
      <c r="C259" s="9" t="n">
        <v>1</v>
      </c>
      <c r="D259" s="9" t="inlineStr">
        <is>
          <t>partner_cancellation</t>
        </is>
      </c>
      <c r="E259" s="9" t="inlineStr">
        <is>
          <t>last_minute_cancel</t>
        </is>
      </c>
      <c r="F259" s="9" t="inlineStr">
        <is>
          <t>yes</t>
        </is>
      </c>
      <c r="G259" s="9" t="inlineStr">
        <is>
          <t>high</t>
        </is>
      </c>
      <c r="H259" s="9" t="inlineStr">
        <is>
          <t>yes</t>
        </is>
      </c>
    </row>
    <row r="260">
      <c r="A260" s="9" t="n">
        <v>259</v>
      </c>
      <c r="B260" s="58" t="n">
        <v>46294</v>
      </c>
      <c r="C260" s="9" t="n">
        <v>5</v>
      </c>
      <c r="D260" s="9" t="inlineStr">
        <is>
          <t>praise</t>
        </is>
      </c>
      <c r="E260" s="9" t="inlineStr">
        <is>
          <t>praise_service</t>
        </is>
      </c>
      <c r="F260" s="9" t="inlineStr">
        <is>
          <t>no</t>
        </is>
      </c>
      <c r="G260" s="9" t="inlineStr">
        <is>
          <t>none</t>
        </is>
      </c>
      <c r="H260" s="9" t="inlineStr">
        <is>
          <t>no</t>
        </is>
      </c>
    </row>
    <row r="261">
      <c r="A261" s="9" t="n">
        <v>260</v>
      </c>
      <c r="B261" s="58" t="n">
        <v>46294</v>
      </c>
      <c r="C261" s="9" t="n">
        <v>3</v>
      </c>
      <c r="D261" s="9" t="inlineStr">
        <is>
          <t>price_clarity</t>
        </is>
      </c>
      <c r="E261" s="9" t="inlineStr">
        <is>
          <t>hidden_charges</t>
        </is>
      </c>
      <c r="F261" s="9" t="inlineStr">
        <is>
          <t>no</t>
        </is>
      </c>
      <c r="G261" s="9" t="inlineStr">
        <is>
          <t>low</t>
        </is>
      </c>
      <c r="H261" s="9" t="inlineStr">
        <is>
          <t>no</t>
        </is>
      </c>
    </row>
    <row r="262">
      <c r="A262" s="9" t="n">
        <v>261</v>
      </c>
      <c r="B262" s="58" t="n">
        <v>46294</v>
      </c>
      <c r="C262" s="9" t="n">
        <v>1</v>
      </c>
      <c r="D262" s="9" t="inlineStr">
        <is>
          <t>product_fit</t>
        </is>
      </c>
      <c r="E262" s="9" t="inlineStr">
        <is>
          <t>product_quality</t>
        </is>
      </c>
      <c r="F262" s="9" t="inlineStr">
        <is>
          <t>yes</t>
        </is>
      </c>
      <c r="G262" s="9" t="inlineStr">
        <is>
          <t>medium</t>
        </is>
      </c>
      <c r="H262" s="9" t="inlineStr">
        <is>
          <t>no</t>
        </is>
      </c>
    </row>
    <row r="263">
      <c r="A263" s="9" t="n">
        <v>262</v>
      </c>
      <c r="B263" s="58" t="n">
        <v>46294</v>
      </c>
      <c r="C263" s="9" t="n">
        <v>1</v>
      </c>
      <c r="D263" s="9" t="inlineStr">
        <is>
          <t>payment_refund</t>
        </is>
      </c>
      <c r="E263" s="9" t="inlineStr">
        <is>
          <t>refund_denied</t>
        </is>
      </c>
      <c r="F263" s="9" t="inlineStr">
        <is>
          <t>no</t>
        </is>
      </c>
      <c r="G263" s="9" t="inlineStr">
        <is>
          <t>high</t>
        </is>
      </c>
      <c r="H263" s="9" t="inlineStr">
        <is>
          <t>no</t>
        </is>
      </c>
    </row>
    <row r="264">
      <c r="A264" s="9" t="n">
        <v>263</v>
      </c>
      <c r="B264" s="58" t="n">
        <v>46294</v>
      </c>
      <c r="C264" s="9" t="n">
        <v>1</v>
      </c>
      <c r="D264" s="9" t="inlineStr">
        <is>
          <t>price_clarity</t>
        </is>
      </c>
      <c r="E264" s="9" t="inlineStr">
        <is>
          <t>price_mismatch</t>
        </is>
      </c>
      <c r="F264" s="9" t="inlineStr">
        <is>
          <t>no</t>
        </is>
      </c>
      <c r="G264" s="9" t="inlineStr">
        <is>
          <t>low</t>
        </is>
      </c>
      <c r="H264" s="9" t="inlineStr">
        <is>
          <t>no</t>
        </is>
      </c>
    </row>
    <row r="265">
      <c r="A265" s="9" t="n">
        <v>264</v>
      </c>
      <c r="B265" s="58" t="n">
        <v>46294</v>
      </c>
      <c r="C265" s="9" t="n">
        <v>5</v>
      </c>
      <c r="D265" s="9" t="inlineStr">
        <is>
          <t>praise</t>
        </is>
      </c>
      <c r="E265" s="9" t="inlineStr">
        <is>
          <t>praise_service</t>
        </is>
      </c>
      <c r="F265" s="9" t="inlineStr">
        <is>
          <t>no</t>
        </is>
      </c>
      <c r="G265" s="9" t="inlineStr">
        <is>
          <t>none</t>
        </is>
      </c>
      <c r="H265" s="9" t="inlineStr">
        <is>
          <t>no</t>
        </is>
      </c>
    </row>
    <row r="266">
      <c r="A266" s="9" t="n">
        <v>265</v>
      </c>
      <c r="B266" s="58" t="n">
        <v>46294</v>
      </c>
      <c r="C266" s="9" t="n">
        <v>1</v>
      </c>
      <c r="D266" s="9" t="inlineStr">
        <is>
          <t>service_quality</t>
        </is>
      </c>
      <c r="E266" s="9" t="inlineStr">
        <is>
          <t>poor_skill</t>
        </is>
      </c>
      <c r="F266" s="9" t="inlineStr">
        <is>
          <t>no</t>
        </is>
      </c>
      <c r="G266" s="9" t="inlineStr">
        <is>
          <t>medium</t>
        </is>
      </c>
      <c r="H266" s="9" t="inlineStr">
        <is>
          <t>no</t>
        </is>
      </c>
    </row>
    <row r="267">
      <c r="A267" s="9" t="n">
        <v>266</v>
      </c>
      <c r="B267" s="58" t="n">
        <v>46294</v>
      </c>
      <c r="C267" s="9" t="n">
        <v>1</v>
      </c>
      <c r="D267" s="9" t="inlineStr">
        <is>
          <t>support</t>
        </is>
      </c>
      <c r="E267" s="9" t="inlineStr">
        <is>
          <t>unreachable</t>
        </is>
      </c>
      <c r="F267" s="9" t="inlineStr">
        <is>
          <t>yes</t>
        </is>
      </c>
      <c r="G267" s="9" t="inlineStr">
        <is>
          <t>medium</t>
        </is>
      </c>
      <c r="H267" s="9" t="inlineStr">
        <is>
          <t>no</t>
        </is>
      </c>
    </row>
    <row r="268">
      <c r="A268" s="9" t="n">
        <v>267</v>
      </c>
      <c r="B268" s="58" t="n">
        <v>46293</v>
      </c>
      <c r="C268" s="9" t="n">
        <v>1</v>
      </c>
      <c r="D268" s="9" t="inlineStr">
        <is>
          <t>other</t>
        </is>
      </c>
      <c r="E268" s="9" t="inlineStr">
        <is>
          <t>other_issue</t>
        </is>
      </c>
      <c r="F268" s="9" t="inlineStr">
        <is>
          <t>no</t>
        </is>
      </c>
      <c r="G268" s="9" t="inlineStr">
        <is>
          <t>medium</t>
        </is>
      </c>
      <c r="H268" s="9" t="inlineStr">
        <is>
          <t>yes</t>
        </is>
      </c>
    </row>
    <row r="269">
      <c r="A269" s="9" t="n">
        <v>268</v>
      </c>
      <c r="B269" s="58" t="n">
        <v>46293</v>
      </c>
      <c r="C269" s="9" t="n">
        <v>1</v>
      </c>
      <c r="D269" s="9" t="inlineStr">
        <is>
          <t>price_clarity</t>
        </is>
      </c>
      <c r="E269" s="9" t="inlineStr">
        <is>
          <t>hidden_charges</t>
        </is>
      </c>
      <c r="F269" s="9" t="inlineStr">
        <is>
          <t>yes</t>
        </is>
      </c>
      <c r="G269" s="9" t="inlineStr">
        <is>
          <t>high</t>
        </is>
      </c>
      <c r="H269" s="9" t="inlineStr">
        <is>
          <t>no</t>
        </is>
      </c>
    </row>
    <row r="270">
      <c r="A270" s="9" t="n">
        <v>269</v>
      </c>
      <c r="B270" s="58" t="n">
        <v>46293</v>
      </c>
      <c r="C270" s="9" t="n">
        <v>1</v>
      </c>
      <c r="D270" s="9" t="inlineStr">
        <is>
          <t>partner_cancellation</t>
        </is>
      </c>
      <c r="E270" s="9" t="inlineStr">
        <is>
          <t>last_minute_cancel</t>
        </is>
      </c>
      <c r="F270" s="9" t="inlineStr">
        <is>
          <t>yes</t>
        </is>
      </c>
      <c r="G270" s="9" t="inlineStr">
        <is>
          <t>medium</t>
        </is>
      </c>
      <c r="H270" s="9" t="inlineStr">
        <is>
          <t>no</t>
        </is>
      </c>
    </row>
    <row r="271">
      <c r="A271" s="9" t="n">
        <v>270</v>
      </c>
      <c r="B271" s="58" t="n">
        <v>46293</v>
      </c>
      <c r="C271" s="9" t="n">
        <v>1</v>
      </c>
      <c r="D271" s="9" t="inlineStr">
        <is>
          <t>partner_cancellation</t>
        </is>
      </c>
      <c r="E271" s="9" t="inlineStr">
        <is>
          <t>last_minute_cancel</t>
        </is>
      </c>
      <c r="F271" s="9" t="inlineStr">
        <is>
          <t>yes</t>
        </is>
      </c>
      <c r="G271" s="9" t="inlineStr">
        <is>
          <t>medium</t>
        </is>
      </c>
      <c r="H271" s="9" t="inlineStr">
        <is>
          <t>no</t>
        </is>
      </c>
    </row>
    <row r="272">
      <c r="A272" s="9" t="n">
        <v>271</v>
      </c>
      <c r="B272" s="58" t="n">
        <v>46293</v>
      </c>
      <c r="C272" s="9" t="n">
        <v>5</v>
      </c>
      <c r="D272" s="9" t="inlineStr">
        <is>
          <t>praise</t>
        </is>
      </c>
      <c r="E272" s="9" t="inlineStr">
        <is>
          <t>praise_service</t>
        </is>
      </c>
      <c r="F272" s="9" t="inlineStr">
        <is>
          <t>no</t>
        </is>
      </c>
      <c r="G272" s="9" t="inlineStr">
        <is>
          <t>none</t>
        </is>
      </c>
      <c r="H272" s="9" t="inlineStr">
        <is>
          <t>no</t>
        </is>
      </c>
    </row>
    <row r="273">
      <c r="A273" s="9" t="n">
        <v>272</v>
      </c>
      <c r="B273" s="58" t="n">
        <v>46293</v>
      </c>
      <c r="C273" s="9" t="n">
        <v>5</v>
      </c>
      <c r="D273" s="9" t="inlineStr">
        <is>
          <t>praise</t>
        </is>
      </c>
      <c r="E273" s="9" t="inlineStr">
        <is>
          <t>praise_service</t>
        </is>
      </c>
      <c r="F273" s="9" t="inlineStr">
        <is>
          <t>no</t>
        </is>
      </c>
      <c r="G273" s="9" t="inlineStr">
        <is>
          <t>none</t>
        </is>
      </c>
      <c r="H273" s="9" t="inlineStr">
        <is>
          <t>no</t>
        </is>
      </c>
    </row>
    <row r="274">
      <c r="A274" s="9" t="n">
        <v>273</v>
      </c>
      <c r="B274" s="58" t="n">
        <v>46293</v>
      </c>
      <c r="C274" s="9" t="n">
        <v>1</v>
      </c>
      <c r="D274" s="9" t="inlineStr">
        <is>
          <t>partner_cancellation</t>
        </is>
      </c>
      <c r="E274" s="9" t="inlineStr">
        <is>
          <t>no_partner_available</t>
        </is>
      </c>
      <c r="F274" s="9" t="inlineStr">
        <is>
          <t>no</t>
        </is>
      </c>
      <c r="G274" s="9" t="inlineStr">
        <is>
          <t>medium</t>
        </is>
      </c>
      <c r="H274" s="9" t="inlineStr">
        <is>
          <t>no</t>
        </is>
      </c>
    </row>
    <row r="275">
      <c r="A275" s="9" t="n">
        <v>274</v>
      </c>
      <c r="B275" s="58" t="n">
        <v>46293</v>
      </c>
      <c r="C275" s="9" t="n">
        <v>2</v>
      </c>
      <c r="D275" s="9" t="inlineStr">
        <is>
          <t>price_clarity</t>
        </is>
      </c>
      <c r="E275" s="9" t="inlineStr">
        <is>
          <t>hidden_charges</t>
        </is>
      </c>
      <c r="F275" s="9" t="inlineStr">
        <is>
          <t>no</t>
        </is>
      </c>
      <c r="G275" s="9" t="inlineStr">
        <is>
          <t>low</t>
        </is>
      </c>
      <c r="H275" s="9" t="inlineStr">
        <is>
          <t>no</t>
        </is>
      </c>
    </row>
    <row r="276">
      <c r="A276" s="9" t="n">
        <v>275</v>
      </c>
      <c r="B276" s="58" t="n">
        <v>46293</v>
      </c>
      <c r="C276" s="9" t="n">
        <v>1</v>
      </c>
      <c r="D276" s="9" t="inlineStr">
        <is>
          <t>app</t>
        </is>
      </c>
      <c r="E276" s="9" t="inlineStr">
        <is>
          <t>slots_unavailable</t>
        </is>
      </c>
      <c r="F276" s="9" t="inlineStr">
        <is>
          <t>no</t>
        </is>
      </c>
      <c r="G276" s="9" t="inlineStr">
        <is>
          <t>low</t>
        </is>
      </c>
      <c r="H276" s="9" t="inlineStr">
        <is>
          <t>no</t>
        </is>
      </c>
    </row>
    <row r="277">
      <c r="A277" s="9" t="n">
        <v>276</v>
      </c>
      <c r="B277" s="58" t="n">
        <v>46292</v>
      </c>
      <c r="C277" s="9" t="n">
        <v>1</v>
      </c>
      <c r="D277" s="9" t="inlineStr">
        <is>
          <t>partner_cancellation</t>
        </is>
      </c>
      <c r="E277" s="9" t="inlineStr">
        <is>
          <t>no_show</t>
        </is>
      </c>
      <c r="F277" s="9" t="inlineStr">
        <is>
          <t>yes</t>
        </is>
      </c>
      <c r="G277" s="9" t="inlineStr">
        <is>
          <t>medium</t>
        </is>
      </c>
      <c r="H277" s="9" t="inlineStr">
        <is>
          <t>no</t>
        </is>
      </c>
    </row>
    <row r="278">
      <c r="A278" s="9" t="n">
        <v>277</v>
      </c>
      <c r="B278" s="58" t="n">
        <v>46292</v>
      </c>
      <c r="C278" s="9" t="n">
        <v>1</v>
      </c>
      <c r="D278" s="9" t="inlineStr">
        <is>
          <t>partner_cancellation</t>
        </is>
      </c>
      <c r="E278" s="9" t="inlineStr">
        <is>
          <t>last_minute_cancel</t>
        </is>
      </c>
      <c r="F278" s="9" t="inlineStr">
        <is>
          <t>yes</t>
        </is>
      </c>
      <c r="G278" s="9" t="inlineStr">
        <is>
          <t>medium</t>
        </is>
      </c>
      <c r="H278" s="9" t="inlineStr">
        <is>
          <t>no</t>
        </is>
      </c>
    </row>
    <row r="279">
      <c r="A279" s="9" t="n">
        <v>278</v>
      </c>
      <c r="B279" s="58" t="n">
        <v>46292</v>
      </c>
      <c r="C279" s="9" t="n">
        <v>1</v>
      </c>
      <c r="D279" s="9" t="inlineStr">
        <is>
          <t>price_clarity</t>
        </is>
      </c>
      <c r="E279" s="9" t="inlineStr">
        <is>
          <t>hidden_charges</t>
        </is>
      </c>
      <c r="F279" s="9" t="inlineStr">
        <is>
          <t>no</t>
        </is>
      </c>
      <c r="G279" s="9" t="inlineStr">
        <is>
          <t>low</t>
        </is>
      </c>
      <c r="H279" s="9" t="inlineStr">
        <is>
          <t>no</t>
        </is>
      </c>
    </row>
    <row r="280">
      <c r="A280" s="9" t="n">
        <v>279</v>
      </c>
      <c r="B280" s="58" t="n">
        <v>46292</v>
      </c>
      <c r="C280" s="9" t="n">
        <v>5</v>
      </c>
      <c r="D280" s="9" t="inlineStr">
        <is>
          <t>praise</t>
        </is>
      </c>
      <c r="E280" s="9" t="inlineStr">
        <is>
          <t>praise_service</t>
        </is>
      </c>
      <c r="F280" s="9" t="inlineStr">
        <is>
          <t>no</t>
        </is>
      </c>
      <c r="G280" s="9" t="inlineStr">
        <is>
          <t>none</t>
        </is>
      </c>
      <c r="H280" s="9" t="inlineStr">
        <is>
          <t>no</t>
        </is>
      </c>
    </row>
    <row r="281">
      <c r="A281" s="9" t="n">
        <v>280</v>
      </c>
      <c r="B281" s="58" t="n">
        <v>46292</v>
      </c>
      <c r="C281" s="9" t="n">
        <v>5</v>
      </c>
      <c r="D281" s="9" t="inlineStr">
        <is>
          <t>other</t>
        </is>
      </c>
      <c r="E281" s="9" t="inlineStr">
        <is>
          <t>other_issue</t>
        </is>
      </c>
      <c r="F281" s="9" t="inlineStr">
        <is>
          <t>no</t>
        </is>
      </c>
      <c r="G281" s="9" t="inlineStr">
        <is>
          <t>low</t>
        </is>
      </c>
      <c r="H281" s="9" t="inlineStr">
        <is>
          <t>no</t>
        </is>
      </c>
    </row>
    <row r="282">
      <c r="A282" s="9" t="n">
        <v>281</v>
      </c>
      <c r="B282" s="58" t="n">
        <v>46292</v>
      </c>
      <c r="C282" s="9" t="n">
        <v>1</v>
      </c>
      <c r="D282" s="9" t="inlineStr">
        <is>
          <t>support</t>
        </is>
      </c>
      <c r="E282" s="9" t="inlineStr">
        <is>
          <t>unhelpful_or_scripted</t>
        </is>
      </c>
      <c r="F282" s="9" t="inlineStr">
        <is>
          <t>yes</t>
        </is>
      </c>
      <c r="G282" s="9" t="inlineStr">
        <is>
          <t>medium</t>
        </is>
      </c>
      <c r="H282" s="9" t="inlineStr">
        <is>
          <t>no</t>
        </is>
      </c>
    </row>
    <row r="283">
      <c r="A283" s="9" t="n">
        <v>282</v>
      </c>
      <c r="B283" s="58" t="n">
        <v>46292</v>
      </c>
      <c r="C283" s="9" t="n">
        <v>5</v>
      </c>
      <c r="D283" s="9" t="inlineStr">
        <is>
          <t>praise</t>
        </is>
      </c>
      <c r="E283" s="9" t="inlineStr">
        <is>
          <t>praise_service</t>
        </is>
      </c>
      <c r="F283" s="9" t="inlineStr">
        <is>
          <t>no</t>
        </is>
      </c>
      <c r="G283" s="9" t="inlineStr">
        <is>
          <t>none</t>
        </is>
      </c>
      <c r="H283" s="9" t="inlineStr">
        <is>
          <t>no</t>
        </is>
      </c>
    </row>
    <row r="284">
      <c r="A284" s="9" t="n">
        <v>283</v>
      </c>
      <c r="B284" s="58" t="n">
        <v>46292</v>
      </c>
      <c r="C284" s="9" t="n">
        <v>5</v>
      </c>
      <c r="D284" s="9" t="inlineStr">
        <is>
          <t>praise</t>
        </is>
      </c>
      <c r="E284" s="9" t="inlineStr">
        <is>
          <t>praise_value</t>
        </is>
      </c>
      <c r="F284" s="9" t="inlineStr">
        <is>
          <t>no</t>
        </is>
      </c>
      <c r="G284" s="9" t="inlineStr">
        <is>
          <t>none</t>
        </is>
      </c>
      <c r="H284" s="9" t="inlineStr">
        <is>
          <t>no</t>
        </is>
      </c>
    </row>
    <row r="285">
      <c r="A285" s="9" t="n">
        <v>284</v>
      </c>
      <c r="B285" s="58" t="n">
        <v>46292</v>
      </c>
      <c r="C285" s="9" t="n">
        <v>3</v>
      </c>
      <c r="D285" s="9" t="inlineStr">
        <is>
          <t>partner_cancellation</t>
        </is>
      </c>
      <c r="E285" s="9" t="inlineStr">
        <is>
          <t>no_show</t>
        </is>
      </c>
      <c r="F285" s="9" t="inlineStr">
        <is>
          <t>yes</t>
        </is>
      </c>
      <c r="G285" s="9" t="inlineStr">
        <is>
          <t>medium</t>
        </is>
      </c>
      <c r="H285" s="9" t="inlineStr">
        <is>
          <t>no</t>
        </is>
      </c>
    </row>
    <row r="286">
      <c r="A286" s="9" t="n">
        <v>285</v>
      </c>
      <c r="B286" s="58" t="n">
        <v>46292</v>
      </c>
      <c r="C286" s="9" t="n">
        <v>5</v>
      </c>
      <c r="D286" s="9" t="inlineStr">
        <is>
          <t>praise</t>
        </is>
      </c>
      <c r="E286" s="9" t="inlineStr">
        <is>
          <t>praise_service</t>
        </is>
      </c>
      <c r="F286" s="9" t="inlineStr">
        <is>
          <t>no</t>
        </is>
      </c>
      <c r="G286" s="9" t="inlineStr">
        <is>
          <t>none</t>
        </is>
      </c>
      <c r="H286" s="9" t="inlineStr">
        <is>
          <t>no</t>
        </is>
      </c>
    </row>
    <row r="287">
      <c r="A287" s="9" t="n">
        <v>286</v>
      </c>
      <c r="B287" s="58" t="n">
        <v>46292</v>
      </c>
      <c r="C287" s="9" t="n">
        <v>1</v>
      </c>
      <c r="D287" s="9" t="inlineStr">
        <is>
          <t>service_quality</t>
        </is>
      </c>
      <c r="E287" s="9" t="inlineStr">
        <is>
          <t>poor_skill</t>
        </is>
      </c>
      <c r="F287" s="9" t="inlineStr">
        <is>
          <t>no</t>
        </is>
      </c>
      <c r="G287" s="9" t="inlineStr">
        <is>
          <t>medium</t>
        </is>
      </c>
      <c r="H287" s="9" t="inlineStr">
        <is>
          <t>no</t>
        </is>
      </c>
    </row>
    <row r="288">
      <c r="A288" s="9" t="n">
        <v>287</v>
      </c>
      <c r="B288" s="58" t="n">
        <v>46292</v>
      </c>
      <c r="C288" s="9" t="n">
        <v>1</v>
      </c>
      <c r="D288" s="9" t="inlineStr">
        <is>
          <t>partner_cancellation</t>
        </is>
      </c>
      <c r="E288" s="9" t="inlineStr">
        <is>
          <t>repeated_reschedule</t>
        </is>
      </c>
      <c r="F288" s="9" t="inlineStr">
        <is>
          <t>yes</t>
        </is>
      </c>
      <c r="G288" s="9" t="inlineStr">
        <is>
          <t>medium</t>
        </is>
      </c>
      <c r="H288" s="9" t="inlineStr">
        <is>
          <t>no</t>
        </is>
      </c>
    </row>
    <row r="289">
      <c r="A289" s="9" t="n">
        <v>288</v>
      </c>
      <c r="B289" s="58" t="n">
        <v>46292</v>
      </c>
      <c r="C289" s="9" t="n">
        <v>1</v>
      </c>
      <c r="D289" s="9" t="inlineStr">
        <is>
          <t>support</t>
        </is>
      </c>
      <c r="E289" s="9" t="inlineStr">
        <is>
          <t>unhelpful_or_scripted</t>
        </is>
      </c>
      <c r="F289" s="9" t="inlineStr">
        <is>
          <t>yes</t>
        </is>
      </c>
      <c r="G289" s="9" t="inlineStr">
        <is>
          <t>low</t>
        </is>
      </c>
      <c r="H289" s="9" t="inlineStr">
        <is>
          <t>no</t>
        </is>
      </c>
    </row>
    <row r="290">
      <c r="A290" s="9" t="n">
        <v>289</v>
      </c>
      <c r="B290" s="58" t="n">
        <v>46291</v>
      </c>
      <c r="C290" s="9" t="n">
        <v>5</v>
      </c>
      <c r="D290" s="9" t="inlineStr">
        <is>
          <t>praise</t>
        </is>
      </c>
      <c r="E290" s="9" t="inlineStr">
        <is>
          <t>praise_service</t>
        </is>
      </c>
      <c r="F290" s="9" t="inlineStr">
        <is>
          <t>no</t>
        </is>
      </c>
      <c r="G290" s="9" t="inlineStr">
        <is>
          <t>none</t>
        </is>
      </c>
      <c r="H290" s="9" t="inlineStr">
        <is>
          <t>no</t>
        </is>
      </c>
    </row>
    <row r="291">
      <c r="A291" s="9" t="n">
        <v>290</v>
      </c>
      <c r="B291" s="58" t="n">
        <v>46291</v>
      </c>
      <c r="C291" s="9" t="n">
        <v>1</v>
      </c>
      <c r="D291" s="9" t="inlineStr">
        <is>
          <t>other</t>
        </is>
      </c>
      <c r="E291" s="9" t="inlineStr">
        <is>
          <t>unclear</t>
        </is>
      </c>
      <c r="F291" s="9" t="inlineStr">
        <is>
          <t>no</t>
        </is>
      </c>
      <c r="G291" s="9" t="inlineStr">
        <is>
          <t>low</t>
        </is>
      </c>
      <c r="H291" s="9" t="inlineStr">
        <is>
          <t>no</t>
        </is>
      </c>
    </row>
    <row r="292">
      <c r="A292" s="9" t="n">
        <v>291</v>
      </c>
      <c r="B292" s="58" t="n">
        <v>46291</v>
      </c>
      <c r="C292" s="9" t="n">
        <v>1</v>
      </c>
      <c r="D292" s="9" t="inlineStr">
        <is>
          <t>partner_cancellation</t>
        </is>
      </c>
      <c r="E292" s="9" t="inlineStr">
        <is>
          <t>last_minute_cancel</t>
        </is>
      </c>
      <c r="F292" s="9" t="inlineStr">
        <is>
          <t>no</t>
        </is>
      </c>
      <c r="G292" s="9" t="inlineStr">
        <is>
          <t>high</t>
        </is>
      </c>
      <c r="H292" s="9" t="inlineStr">
        <is>
          <t>yes</t>
        </is>
      </c>
    </row>
    <row r="293">
      <c r="A293" s="9" t="n">
        <v>292</v>
      </c>
      <c r="B293" s="58" t="n">
        <v>46291</v>
      </c>
      <c r="C293" s="9" t="n">
        <v>4</v>
      </c>
      <c r="D293" s="9" t="inlineStr">
        <is>
          <t>price_clarity</t>
        </is>
      </c>
      <c r="E293" s="9" t="inlineStr">
        <is>
          <t>hidden_charges</t>
        </is>
      </c>
      <c r="F293" s="9" t="inlineStr">
        <is>
          <t>no</t>
        </is>
      </c>
      <c r="G293" s="9" t="inlineStr">
        <is>
          <t>low</t>
        </is>
      </c>
      <c r="H293" s="9" t="inlineStr">
        <is>
          <t>no</t>
        </is>
      </c>
    </row>
    <row r="294">
      <c r="A294" s="9" t="n">
        <v>293</v>
      </c>
      <c r="B294" s="58" t="n">
        <v>46291</v>
      </c>
      <c r="C294" s="9" t="n">
        <v>1</v>
      </c>
      <c r="D294" s="9" t="inlineStr">
        <is>
          <t>service_quality</t>
        </is>
      </c>
      <c r="E294" s="9" t="inlineStr">
        <is>
          <t>poor_skill</t>
        </is>
      </c>
      <c r="F294" s="9" t="inlineStr">
        <is>
          <t>yes</t>
        </is>
      </c>
      <c r="G294" s="9" t="inlineStr">
        <is>
          <t>high</t>
        </is>
      </c>
      <c r="H294" s="9" t="inlineStr">
        <is>
          <t>yes</t>
        </is>
      </c>
    </row>
    <row r="295">
      <c r="A295" s="9" t="n">
        <v>294</v>
      </c>
      <c r="B295" s="58" t="n">
        <v>46291</v>
      </c>
      <c r="C295" s="9" t="n">
        <v>5</v>
      </c>
      <c r="D295" s="9" t="inlineStr">
        <is>
          <t>praise</t>
        </is>
      </c>
      <c r="E295" s="9" t="inlineStr">
        <is>
          <t>praise_service</t>
        </is>
      </c>
      <c r="F295" s="9" t="inlineStr">
        <is>
          <t>no</t>
        </is>
      </c>
      <c r="G295" s="9" t="inlineStr">
        <is>
          <t>none</t>
        </is>
      </c>
      <c r="H295" s="9" t="inlineStr">
        <is>
          <t>no</t>
        </is>
      </c>
    </row>
    <row r="296">
      <c r="A296" s="9" t="n">
        <v>295</v>
      </c>
      <c r="B296" s="58" t="n">
        <v>46291</v>
      </c>
      <c r="C296" s="9" t="n">
        <v>1</v>
      </c>
      <c r="D296" s="9" t="inlineStr">
        <is>
          <t>payment_refund</t>
        </is>
      </c>
      <c r="E296" s="9" t="inlineStr">
        <is>
          <t>refund_denied</t>
        </is>
      </c>
      <c r="F296" s="9" t="inlineStr">
        <is>
          <t>yes</t>
        </is>
      </c>
      <c r="G296" s="9" t="inlineStr">
        <is>
          <t>high</t>
        </is>
      </c>
      <c r="H296" s="9" t="inlineStr">
        <is>
          <t>no</t>
        </is>
      </c>
    </row>
    <row r="297">
      <c r="A297" s="9" t="n">
        <v>296</v>
      </c>
      <c r="B297" s="58" t="n">
        <v>46291</v>
      </c>
      <c r="C297" s="9" t="n">
        <v>1</v>
      </c>
      <c r="D297" s="9" t="inlineStr">
        <is>
          <t>partner_cancellation</t>
        </is>
      </c>
      <c r="E297" s="9" t="inlineStr">
        <is>
          <t>last_minute_cancel</t>
        </is>
      </c>
      <c r="F297" s="9" t="inlineStr">
        <is>
          <t>no</t>
        </is>
      </c>
      <c r="G297" s="9" t="inlineStr">
        <is>
          <t>medium</t>
        </is>
      </c>
      <c r="H297" s="9" t="inlineStr">
        <is>
          <t>no</t>
        </is>
      </c>
    </row>
    <row r="298">
      <c r="A298" s="9" t="n">
        <v>297</v>
      </c>
      <c r="B298" s="58" t="n">
        <v>46291</v>
      </c>
      <c r="C298" s="9" t="n">
        <v>3</v>
      </c>
      <c r="D298" s="9" t="inlineStr">
        <is>
          <t>price_clarity</t>
        </is>
      </c>
      <c r="E298" s="9" t="inlineStr">
        <is>
          <t>price_mismatch</t>
        </is>
      </c>
      <c r="F298" s="9" t="inlineStr">
        <is>
          <t>no</t>
        </is>
      </c>
      <c r="G298" s="9" t="inlineStr">
        <is>
          <t>low</t>
        </is>
      </c>
      <c r="H298" s="9" t="inlineStr">
        <is>
          <t>no</t>
        </is>
      </c>
    </row>
    <row r="299">
      <c r="A299" s="9" t="n">
        <v>298</v>
      </c>
      <c r="B299" s="58" t="n">
        <v>46291</v>
      </c>
      <c r="C299" s="9" t="n">
        <v>5</v>
      </c>
      <c r="D299" s="9" t="inlineStr">
        <is>
          <t>praise</t>
        </is>
      </c>
      <c r="E299" s="9" t="inlineStr">
        <is>
          <t>praise_professional</t>
        </is>
      </c>
      <c r="F299" s="9" t="inlineStr">
        <is>
          <t>no</t>
        </is>
      </c>
      <c r="G299" s="9" t="inlineStr">
        <is>
          <t>none</t>
        </is>
      </c>
      <c r="H299" s="9" t="inlineStr">
        <is>
          <t>no</t>
        </is>
      </c>
    </row>
    <row r="300">
      <c r="A300" s="9" t="n">
        <v>299</v>
      </c>
      <c r="B300" s="58" t="n">
        <v>46291</v>
      </c>
      <c r="C300" s="9" t="n">
        <v>5</v>
      </c>
      <c r="D300" s="9" t="inlineStr">
        <is>
          <t>praise</t>
        </is>
      </c>
      <c r="E300" s="9" t="inlineStr">
        <is>
          <t>praise_service</t>
        </is>
      </c>
      <c r="F300" s="9" t="inlineStr">
        <is>
          <t>no</t>
        </is>
      </c>
      <c r="G300" s="9" t="inlineStr">
        <is>
          <t>none</t>
        </is>
      </c>
      <c r="H300" s="9" t="inlineStr">
        <is>
          <t>no</t>
        </is>
      </c>
    </row>
    <row r="301">
      <c r="A301" s="9" t="n">
        <v>300</v>
      </c>
      <c r="B301" s="58" t="n">
        <v>46291</v>
      </c>
      <c r="C301" s="9" t="n">
        <v>5</v>
      </c>
      <c r="D301" s="9" t="inlineStr">
        <is>
          <t>praise</t>
        </is>
      </c>
      <c r="E301" s="9" t="inlineStr">
        <is>
          <t>praise_service</t>
        </is>
      </c>
      <c r="F301" s="9" t="inlineStr">
        <is>
          <t>no</t>
        </is>
      </c>
      <c r="G301" s="9" t="inlineStr">
        <is>
          <t>none</t>
        </is>
      </c>
      <c r="H301" s="9" t="inlineStr">
        <is>
          <t>no</t>
        </is>
      </c>
    </row>
    <row r="302">
      <c r="A302" s="9" t="n">
        <v>301</v>
      </c>
      <c r="B302" s="58" t="n">
        <v>46291</v>
      </c>
      <c r="C302" s="9" t="n">
        <v>5</v>
      </c>
      <c r="D302" s="9" t="inlineStr">
        <is>
          <t>praise</t>
        </is>
      </c>
      <c r="E302" s="9" t="inlineStr">
        <is>
          <t>praise_professional</t>
        </is>
      </c>
      <c r="F302" s="9" t="inlineStr">
        <is>
          <t>no</t>
        </is>
      </c>
      <c r="G302" s="9" t="inlineStr">
        <is>
          <t>none</t>
        </is>
      </c>
      <c r="H302" s="9" t="inlineStr">
        <is>
          <t>no</t>
        </is>
      </c>
    </row>
    <row r="303">
      <c r="A303" s="9" t="n">
        <v>302</v>
      </c>
      <c r="B303" s="58" t="n">
        <v>46291</v>
      </c>
      <c r="C303" s="9" t="n">
        <v>1</v>
      </c>
      <c r="D303" s="9" t="inlineStr">
        <is>
          <t>partner_cancellation</t>
        </is>
      </c>
      <c r="E303" s="9" t="inlineStr">
        <is>
          <t>last_minute_cancel</t>
        </is>
      </c>
      <c r="F303" s="9" t="inlineStr">
        <is>
          <t>no</t>
        </is>
      </c>
      <c r="G303" s="9" t="inlineStr">
        <is>
          <t>medium</t>
        </is>
      </c>
      <c r="H303" s="9" t="inlineStr">
        <is>
          <t>no</t>
        </is>
      </c>
    </row>
    <row r="304">
      <c r="A304" s="9" t="n">
        <v>303</v>
      </c>
      <c r="B304" s="58" t="n">
        <v>46291</v>
      </c>
      <c r="C304" s="9" t="n">
        <v>1</v>
      </c>
      <c r="D304" s="9" t="inlineStr">
        <is>
          <t>support</t>
        </is>
      </c>
      <c r="E304" s="9" t="inlineStr">
        <is>
          <t>unhelpful_or_scripted</t>
        </is>
      </c>
      <c r="F304" s="9" t="inlineStr">
        <is>
          <t>no</t>
        </is>
      </c>
      <c r="G304" s="9" t="inlineStr">
        <is>
          <t>low</t>
        </is>
      </c>
      <c r="H304" s="9" t="inlineStr">
        <is>
          <t>no</t>
        </is>
      </c>
    </row>
    <row r="305">
      <c r="A305" s="9" t="n">
        <v>304</v>
      </c>
      <c r="B305" s="58" t="n">
        <v>46291</v>
      </c>
      <c r="C305" s="9" t="n">
        <v>1</v>
      </c>
      <c r="D305" s="9" t="inlineStr">
        <is>
          <t>support</t>
        </is>
      </c>
      <c r="E305" s="9" t="inlineStr">
        <is>
          <t>slow_resolution</t>
        </is>
      </c>
      <c r="F305" s="9" t="inlineStr">
        <is>
          <t>yes</t>
        </is>
      </c>
      <c r="G305" s="9" t="inlineStr">
        <is>
          <t>medium</t>
        </is>
      </c>
      <c r="H305" s="9" t="inlineStr">
        <is>
          <t>no</t>
        </is>
      </c>
    </row>
    <row r="306">
      <c r="A306" s="9" t="n">
        <v>305</v>
      </c>
      <c r="B306" s="58" t="n">
        <v>46291</v>
      </c>
      <c r="C306" s="9" t="n">
        <v>5</v>
      </c>
      <c r="D306" s="9" t="inlineStr">
        <is>
          <t>praise</t>
        </is>
      </c>
      <c r="E306" s="9" t="inlineStr">
        <is>
          <t>praise_service</t>
        </is>
      </c>
      <c r="F306" s="9" t="inlineStr">
        <is>
          <t>no</t>
        </is>
      </c>
      <c r="G306" s="9" t="inlineStr">
        <is>
          <t>none</t>
        </is>
      </c>
      <c r="H306" s="9" t="inlineStr">
        <is>
          <t>no</t>
        </is>
      </c>
    </row>
    <row r="307">
      <c r="A307" s="9" t="n">
        <v>306</v>
      </c>
      <c r="B307" s="58" t="n">
        <v>46290</v>
      </c>
      <c r="C307" s="9" t="n">
        <v>2</v>
      </c>
      <c r="D307" s="9" t="inlineStr">
        <is>
          <t>service_quality</t>
        </is>
      </c>
      <c r="E307" s="9" t="inlineStr">
        <is>
          <t>rude_behaviour</t>
        </is>
      </c>
      <c r="F307" s="9" t="inlineStr">
        <is>
          <t>no</t>
        </is>
      </c>
      <c r="G307" s="9" t="inlineStr">
        <is>
          <t>medium</t>
        </is>
      </c>
      <c r="H307" s="9" t="inlineStr">
        <is>
          <t>no</t>
        </is>
      </c>
    </row>
    <row r="308">
      <c r="A308" s="9" t="n">
        <v>307</v>
      </c>
      <c r="B308" s="58" t="n">
        <v>46290</v>
      </c>
      <c r="C308" s="9" t="n">
        <v>1</v>
      </c>
      <c r="D308" s="9" t="inlineStr">
        <is>
          <t>price_clarity</t>
        </is>
      </c>
      <c r="E308" s="9" t="inlineStr">
        <is>
          <t>price_mismatch</t>
        </is>
      </c>
      <c r="F308" s="9" t="inlineStr">
        <is>
          <t>no</t>
        </is>
      </c>
      <c r="G308" s="9" t="inlineStr">
        <is>
          <t>medium</t>
        </is>
      </c>
      <c r="H308" s="9" t="inlineStr">
        <is>
          <t>no</t>
        </is>
      </c>
    </row>
    <row r="309">
      <c r="A309" s="9" t="n">
        <v>308</v>
      </c>
      <c r="B309" s="58" t="n">
        <v>46290</v>
      </c>
      <c r="C309" s="9" t="n">
        <v>1</v>
      </c>
      <c r="D309" s="9" t="inlineStr">
        <is>
          <t>partner_cancellation</t>
        </is>
      </c>
      <c r="E309" s="9" t="inlineStr">
        <is>
          <t>no_partner_available</t>
        </is>
      </c>
      <c r="F309" s="9" t="inlineStr">
        <is>
          <t>no</t>
        </is>
      </c>
      <c r="G309" s="9" t="inlineStr">
        <is>
          <t>medium</t>
        </is>
      </c>
      <c r="H309" s="9" t="inlineStr">
        <is>
          <t>no</t>
        </is>
      </c>
    </row>
    <row r="310">
      <c r="A310" s="9" t="n">
        <v>309</v>
      </c>
      <c r="B310" s="58" t="n">
        <v>46290</v>
      </c>
      <c r="C310" s="9" t="n">
        <v>5</v>
      </c>
      <c r="D310" s="9" t="inlineStr">
        <is>
          <t>praise</t>
        </is>
      </c>
      <c r="E310" s="9" t="inlineStr">
        <is>
          <t>praise_service</t>
        </is>
      </c>
      <c r="F310" s="9" t="inlineStr">
        <is>
          <t>no</t>
        </is>
      </c>
      <c r="G310" s="9" t="inlineStr">
        <is>
          <t>none</t>
        </is>
      </c>
      <c r="H310" s="9" t="inlineStr">
        <is>
          <t>no</t>
        </is>
      </c>
    </row>
    <row r="311">
      <c r="A311" s="9" t="n">
        <v>310</v>
      </c>
      <c r="B311" s="58" t="n">
        <v>46290</v>
      </c>
      <c r="C311" s="9" t="n">
        <v>1</v>
      </c>
      <c r="D311" s="9" t="inlineStr">
        <is>
          <t>support</t>
        </is>
      </c>
      <c r="E311" s="9" t="inlineStr">
        <is>
          <t>unhelpful_or_scripted</t>
        </is>
      </c>
      <c r="F311" s="9" t="inlineStr">
        <is>
          <t>yes</t>
        </is>
      </c>
      <c r="G311" s="9" t="inlineStr">
        <is>
          <t>medium</t>
        </is>
      </c>
      <c r="H311" s="9" t="inlineStr">
        <is>
          <t>no</t>
        </is>
      </c>
    </row>
    <row r="312">
      <c r="A312" s="9" t="n">
        <v>311</v>
      </c>
      <c r="B312" s="58" t="n">
        <v>46290</v>
      </c>
      <c r="C312" s="9" t="n">
        <v>1</v>
      </c>
      <c r="D312" s="9" t="inlineStr">
        <is>
          <t>service_quality</t>
        </is>
      </c>
      <c r="E312" s="9" t="inlineStr">
        <is>
          <t>rushed_or_incomplete</t>
        </is>
      </c>
      <c r="F312" s="9" t="inlineStr">
        <is>
          <t>no</t>
        </is>
      </c>
      <c r="G312" s="9" t="inlineStr">
        <is>
          <t>medium</t>
        </is>
      </c>
      <c r="H312" s="9" t="inlineStr">
        <is>
          <t>no</t>
        </is>
      </c>
    </row>
    <row r="313">
      <c r="A313" s="9" t="n">
        <v>312</v>
      </c>
      <c r="B313" s="58" t="n">
        <v>46290</v>
      </c>
      <c r="C313" s="9" t="n">
        <v>1</v>
      </c>
      <c r="D313" s="9" t="inlineStr">
        <is>
          <t>price_clarity</t>
        </is>
      </c>
      <c r="E313" s="9" t="inlineStr">
        <is>
          <t>price_mismatch</t>
        </is>
      </c>
      <c r="F313" s="9" t="inlineStr">
        <is>
          <t>no</t>
        </is>
      </c>
      <c r="G313" s="9" t="inlineStr">
        <is>
          <t>medium</t>
        </is>
      </c>
      <c r="H313" s="9" t="inlineStr">
        <is>
          <t>no</t>
        </is>
      </c>
    </row>
    <row r="314">
      <c r="A314" s="9" t="n">
        <v>313</v>
      </c>
      <c r="B314" s="58" t="n">
        <v>46289</v>
      </c>
      <c r="C314" s="9" t="n">
        <v>1</v>
      </c>
      <c r="D314" s="9" t="inlineStr">
        <is>
          <t>payment_refund</t>
        </is>
      </c>
      <c r="E314" s="9" t="inlineStr">
        <is>
          <t>charged_not_served</t>
        </is>
      </c>
      <c r="F314" s="9" t="inlineStr">
        <is>
          <t>yes</t>
        </is>
      </c>
      <c r="G314" s="9" t="inlineStr">
        <is>
          <t>high</t>
        </is>
      </c>
      <c r="H314" s="9" t="inlineStr">
        <is>
          <t>no</t>
        </is>
      </c>
    </row>
    <row r="315">
      <c r="A315" s="9" t="n">
        <v>314</v>
      </c>
      <c r="B315" s="58" t="n">
        <v>46289</v>
      </c>
      <c r="C315" s="9" t="n">
        <v>1</v>
      </c>
      <c r="D315" s="9" t="inlineStr">
        <is>
          <t>partner_cancellation</t>
        </is>
      </c>
      <c r="E315" s="9" t="inlineStr">
        <is>
          <t>last_minute_cancel</t>
        </is>
      </c>
      <c r="F315" s="9" t="inlineStr">
        <is>
          <t>no</t>
        </is>
      </c>
      <c r="G315" s="9" t="inlineStr">
        <is>
          <t>medium</t>
        </is>
      </c>
      <c r="H315" s="9" t="inlineStr">
        <is>
          <t>no</t>
        </is>
      </c>
    </row>
    <row r="316">
      <c r="A316" s="9" t="n">
        <v>315</v>
      </c>
      <c r="B316" s="58" t="n">
        <v>46289</v>
      </c>
      <c r="C316" s="9" t="n">
        <v>5</v>
      </c>
      <c r="D316" s="9" t="inlineStr">
        <is>
          <t>praise</t>
        </is>
      </c>
      <c r="E316" s="9" t="inlineStr">
        <is>
          <t>praise_service</t>
        </is>
      </c>
      <c r="F316" s="9" t="inlineStr">
        <is>
          <t>no</t>
        </is>
      </c>
      <c r="G316" s="9" t="inlineStr">
        <is>
          <t>none</t>
        </is>
      </c>
      <c r="H316" s="9" t="inlineStr">
        <is>
          <t>no</t>
        </is>
      </c>
    </row>
    <row r="317">
      <c r="A317" s="9" t="n">
        <v>316</v>
      </c>
      <c r="B317" s="58" t="n">
        <v>46289</v>
      </c>
      <c r="C317" s="9" t="n">
        <v>5</v>
      </c>
      <c r="D317" s="9" t="inlineStr">
        <is>
          <t>praise</t>
        </is>
      </c>
      <c r="E317" s="9" t="inlineStr">
        <is>
          <t>praise_service</t>
        </is>
      </c>
      <c r="F317" s="9" t="inlineStr">
        <is>
          <t>no</t>
        </is>
      </c>
      <c r="G317" s="9" t="inlineStr">
        <is>
          <t>none</t>
        </is>
      </c>
      <c r="H317" s="9" t="inlineStr">
        <is>
          <t>no</t>
        </is>
      </c>
    </row>
    <row r="318">
      <c r="A318" s="9" t="n">
        <v>317</v>
      </c>
      <c r="B318" s="58" t="n">
        <v>46289</v>
      </c>
      <c r="C318" s="9" t="n">
        <v>5</v>
      </c>
      <c r="D318" s="9" t="inlineStr">
        <is>
          <t>praise</t>
        </is>
      </c>
      <c r="E318" s="9" t="inlineStr">
        <is>
          <t>praise_service</t>
        </is>
      </c>
      <c r="F318" s="9" t="inlineStr">
        <is>
          <t>no</t>
        </is>
      </c>
      <c r="G318" s="9" t="inlineStr">
        <is>
          <t>none</t>
        </is>
      </c>
      <c r="H318" s="9" t="inlineStr">
        <is>
          <t>no</t>
        </is>
      </c>
    </row>
    <row r="319">
      <c r="A319" s="9" t="n">
        <v>318</v>
      </c>
      <c r="B319" s="58" t="n">
        <v>46289</v>
      </c>
      <c r="C319" s="9" t="n">
        <v>2</v>
      </c>
      <c r="D319" s="9" t="inlineStr">
        <is>
          <t>price_clarity</t>
        </is>
      </c>
      <c r="E319" s="9" t="inlineStr">
        <is>
          <t>membership_or_package_confusion</t>
        </is>
      </c>
      <c r="F319" s="9" t="inlineStr">
        <is>
          <t>no</t>
        </is>
      </c>
      <c r="G319" s="9" t="inlineStr">
        <is>
          <t>medium</t>
        </is>
      </c>
      <c r="H319" s="9" t="inlineStr">
        <is>
          <t>yes</t>
        </is>
      </c>
    </row>
    <row r="320">
      <c r="A320" s="9" t="n">
        <v>319</v>
      </c>
      <c r="B320" s="58" t="n">
        <v>46289</v>
      </c>
      <c r="C320" s="9" t="n">
        <v>5</v>
      </c>
      <c r="D320" s="9" t="inlineStr">
        <is>
          <t>praise</t>
        </is>
      </c>
      <c r="E320" s="9" t="inlineStr">
        <is>
          <t>praise_professional</t>
        </is>
      </c>
      <c r="F320" s="9" t="inlineStr">
        <is>
          <t>no</t>
        </is>
      </c>
      <c r="G320" s="9" t="inlineStr">
        <is>
          <t>none</t>
        </is>
      </c>
      <c r="H320" s="9" t="inlineStr">
        <is>
          <t>no</t>
        </is>
      </c>
    </row>
    <row r="321">
      <c r="A321" s="9" t="n">
        <v>320</v>
      </c>
      <c r="B321" s="58" t="n">
        <v>46289</v>
      </c>
      <c r="C321" s="9" t="n">
        <v>1</v>
      </c>
      <c r="D321" s="9" t="inlineStr">
        <is>
          <t>price_clarity</t>
        </is>
      </c>
      <c r="E321" s="9" t="inlineStr">
        <is>
          <t>price_mismatch</t>
        </is>
      </c>
      <c r="F321" s="9" t="inlineStr">
        <is>
          <t>no</t>
        </is>
      </c>
      <c r="G321" s="9" t="inlineStr">
        <is>
          <t>medium</t>
        </is>
      </c>
      <c r="H321" s="9" t="inlineStr">
        <is>
          <t>no</t>
        </is>
      </c>
    </row>
    <row r="322">
      <c r="A322" s="9" t="n">
        <v>321</v>
      </c>
      <c r="B322" s="58" t="n">
        <v>46289</v>
      </c>
      <c r="C322" s="9" t="n">
        <v>1</v>
      </c>
      <c r="D322" s="9" t="inlineStr">
        <is>
          <t>other</t>
        </is>
      </c>
      <c r="E322" s="9" t="inlineStr">
        <is>
          <t>other_issue</t>
        </is>
      </c>
      <c r="F322" s="9" t="inlineStr">
        <is>
          <t>no</t>
        </is>
      </c>
      <c r="G322" s="9" t="inlineStr">
        <is>
          <t>medium</t>
        </is>
      </c>
      <c r="H322" s="9" t="inlineStr">
        <is>
          <t>no</t>
        </is>
      </c>
    </row>
    <row r="323">
      <c r="A323" s="9" t="n">
        <v>322</v>
      </c>
      <c r="B323" s="58" t="n">
        <v>46289</v>
      </c>
      <c r="C323" s="9" t="n">
        <v>5</v>
      </c>
      <c r="D323" s="9" t="inlineStr">
        <is>
          <t>price_clarity</t>
        </is>
      </c>
      <c r="E323" s="9" t="inlineStr">
        <is>
          <t>hidden_charges</t>
        </is>
      </c>
      <c r="F323" s="9" t="inlineStr">
        <is>
          <t>no</t>
        </is>
      </c>
      <c r="G323" s="9" t="inlineStr">
        <is>
          <t>low</t>
        </is>
      </c>
      <c r="H323" s="9" t="inlineStr">
        <is>
          <t>no</t>
        </is>
      </c>
    </row>
    <row r="324">
      <c r="A324" s="9" t="n">
        <v>323</v>
      </c>
      <c r="B324" s="58" t="n">
        <v>46289</v>
      </c>
      <c r="C324" s="9" t="n">
        <v>1</v>
      </c>
      <c r="D324" s="9" t="inlineStr">
        <is>
          <t>payment_refund</t>
        </is>
      </c>
      <c r="E324" s="9" t="inlineStr">
        <is>
          <t>charged_not_served</t>
        </is>
      </c>
      <c r="F324" s="9" t="inlineStr">
        <is>
          <t>yes</t>
        </is>
      </c>
      <c r="G324" s="9" t="inlineStr">
        <is>
          <t>high</t>
        </is>
      </c>
      <c r="H324" s="9" t="inlineStr">
        <is>
          <t>no</t>
        </is>
      </c>
    </row>
    <row r="325">
      <c r="A325" s="9" t="n">
        <v>324</v>
      </c>
      <c r="B325" s="58" t="n">
        <v>46289</v>
      </c>
      <c r="C325" s="9" t="n">
        <v>1</v>
      </c>
      <c r="D325" s="9" t="inlineStr">
        <is>
          <t>payment_refund</t>
        </is>
      </c>
      <c r="E325" s="9" t="inlineStr">
        <is>
          <t>charged_not_served</t>
        </is>
      </c>
      <c r="F325" s="9" t="inlineStr">
        <is>
          <t>yes</t>
        </is>
      </c>
      <c r="G325" s="9" t="inlineStr">
        <is>
          <t>high</t>
        </is>
      </c>
      <c r="H325" s="9" t="inlineStr">
        <is>
          <t>no</t>
        </is>
      </c>
    </row>
    <row r="326">
      <c r="A326" s="9" t="n">
        <v>325</v>
      </c>
      <c r="B326" s="58" t="n">
        <v>46288</v>
      </c>
      <c r="C326" s="9" t="n">
        <v>5</v>
      </c>
      <c r="D326" s="9" t="inlineStr">
        <is>
          <t>praise</t>
        </is>
      </c>
      <c r="E326" s="9" t="inlineStr">
        <is>
          <t>praise_service</t>
        </is>
      </c>
      <c r="F326" s="9" t="inlineStr">
        <is>
          <t>no</t>
        </is>
      </c>
      <c r="G326" s="9" t="inlineStr">
        <is>
          <t>none</t>
        </is>
      </c>
      <c r="H326" s="9" t="inlineStr">
        <is>
          <t>no</t>
        </is>
      </c>
    </row>
    <row r="327">
      <c r="A327" s="9" t="n">
        <v>326</v>
      </c>
      <c r="B327" s="58" t="n">
        <v>46288</v>
      </c>
      <c r="C327" s="9" t="n">
        <v>5</v>
      </c>
      <c r="D327" s="9" t="inlineStr">
        <is>
          <t>praise</t>
        </is>
      </c>
      <c r="E327" s="9" t="inlineStr">
        <is>
          <t>praise_service</t>
        </is>
      </c>
      <c r="F327" s="9" t="inlineStr">
        <is>
          <t>no</t>
        </is>
      </c>
      <c r="G327" s="9" t="inlineStr">
        <is>
          <t>none</t>
        </is>
      </c>
      <c r="H327" s="9" t="inlineStr">
        <is>
          <t>no</t>
        </is>
      </c>
    </row>
    <row r="328">
      <c r="A328" s="9" t="n">
        <v>327</v>
      </c>
      <c r="B328" s="58" t="n">
        <v>46288</v>
      </c>
      <c r="C328" s="9" t="n">
        <v>5</v>
      </c>
      <c r="D328" s="9" t="inlineStr">
        <is>
          <t>praise</t>
        </is>
      </c>
      <c r="E328" s="9" t="inlineStr">
        <is>
          <t>praise_service</t>
        </is>
      </c>
      <c r="F328" s="9" t="inlineStr">
        <is>
          <t>no</t>
        </is>
      </c>
      <c r="G328" s="9" t="inlineStr">
        <is>
          <t>none</t>
        </is>
      </c>
      <c r="H328" s="9" t="inlineStr">
        <is>
          <t>no</t>
        </is>
      </c>
    </row>
    <row r="329">
      <c r="A329" s="9" t="n">
        <v>328</v>
      </c>
      <c r="B329" s="58" t="n">
        <v>46288</v>
      </c>
      <c r="C329" s="9" t="n">
        <v>1</v>
      </c>
      <c r="D329" s="9" t="inlineStr">
        <is>
          <t>other</t>
        </is>
      </c>
      <c r="E329" s="9" t="inlineStr">
        <is>
          <t>other_issue</t>
        </is>
      </c>
      <c r="F329" s="9" t="inlineStr">
        <is>
          <t>no</t>
        </is>
      </c>
      <c r="G329" s="9" t="inlineStr">
        <is>
          <t>low</t>
        </is>
      </c>
      <c r="H329" s="9" t="inlineStr">
        <is>
          <t>no</t>
        </is>
      </c>
    </row>
    <row r="330">
      <c r="A330" s="9" t="n">
        <v>329</v>
      </c>
      <c r="B330" s="58" t="n">
        <v>46288</v>
      </c>
      <c r="C330" s="9" t="n">
        <v>5</v>
      </c>
      <c r="D330" s="9" t="inlineStr">
        <is>
          <t>praise</t>
        </is>
      </c>
      <c r="E330" s="9" t="inlineStr">
        <is>
          <t>praise_service</t>
        </is>
      </c>
      <c r="F330" s="9" t="inlineStr">
        <is>
          <t>no</t>
        </is>
      </c>
      <c r="G330" s="9" t="inlineStr">
        <is>
          <t>none</t>
        </is>
      </c>
      <c r="H330" s="9" t="inlineStr">
        <is>
          <t>no</t>
        </is>
      </c>
    </row>
    <row r="331">
      <c r="A331" s="9" t="n">
        <v>330</v>
      </c>
      <c r="B331" s="58" t="n">
        <v>46288</v>
      </c>
      <c r="C331" s="9" t="n">
        <v>5</v>
      </c>
      <c r="D331" s="9" t="inlineStr">
        <is>
          <t>praise</t>
        </is>
      </c>
      <c r="E331" s="9" t="inlineStr">
        <is>
          <t>praise_professional</t>
        </is>
      </c>
      <c r="F331" s="9" t="inlineStr">
        <is>
          <t>no</t>
        </is>
      </c>
      <c r="G331" s="9" t="inlineStr">
        <is>
          <t>none</t>
        </is>
      </c>
      <c r="H331" s="9" t="inlineStr">
        <is>
          <t>no</t>
        </is>
      </c>
    </row>
    <row r="332">
      <c r="A332" s="9" t="n">
        <v>331</v>
      </c>
      <c r="B332" s="58" t="n">
        <v>46288</v>
      </c>
      <c r="C332" s="9" t="n">
        <v>5</v>
      </c>
      <c r="D332" s="9" t="inlineStr">
        <is>
          <t>praise</t>
        </is>
      </c>
      <c r="E332" s="9" t="inlineStr">
        <is>
          <t>praise_service</t>
        </is>
      </c>
      <c r="F332" s="9" t="inlineStr">
        <is>
          <t>no</t>
        </is>
      </c>
      <c r="G332" s="9" t="inlineStr">
        <is>
          <t>none</t>
        </is>
      </c>
      <c r="H332" s="9" t="inlineStr">
        <is>
          <t>no</t>
        </is>
      </c>
    </row>
    <row r="333">
      <c r="A333" s="9" t="n">
        <v>332</v>
      </c>
      <c r="B333" s="58" t="n">
        <v>46288</v>
      </c>
      <c r="C333" s="9" t="n">
        <v>4</v>
      </c>
      <c r="D333" s="9" t="inlineStr">
        <is>
          <t>other</t>
        </is>
      </c>
      <c r="E333" s="9" t="inlineStr">
        <is>
          <t>other_issue</t>
        </is>
      </c>
      <c r="F333" s="9" t="inlineStr">
        <is>
          <t>no</t>
        </is>
      </c>
      <c r="G333" s="9" t="inlineStr">
        <is>
          <t>low</t>
        </is>
      </c>
      <c r="H333" s="9" t="inlineStr">
        <is>
          <t>no</t>
        </is>
      </c>
    </row>
    <row r="334">
      <c r="A334" s="9" t="n">
        <v>333</v>
      </c>
      <c r="B334" s="58" t="n">
        <v>46288</v>
      </c>
      <c r="C334" s="9" t="n">
        <v>5</v>
      </c>
      <c r="D334" s="9" t="inlineStr">
        <is>
          <t>praise</t>
        </is>
      </c>
      <c r="E334" s="9" t="inlineStr">
        <is>
          <t>praise_service</t>
        </is>
      </c>
      <c r="F334" s="9" t="inlineStr">
        <is>
          <t>no</t>
        </is>
      </c>
      <c r="G334" s="9" t="inlineStr">
        <is>
          <t>none</t>
        </is>
      </c>
      <c r="H334" s="9" t="inlineStr">
        <is>
          <t>no</t>
        </is>
      </c>
    </row>
    <row r="335">
      <c r="A335" s="9" t="n">
        <v>334</v>
      </c>
      <c r="B335" s="58" t="n">
        <v>46288</v>
      </c>
      <c r="C335" s="9" t="n">
        <v>3</v>
      </c>
      <c r="D335" s="9" t="inlineStr">
        <is>
          <t>support</t>
        </is>
      </c>
      <c r="E335" s="9" t="inlineStr">
        <is>
          <t>unhelpful_or_scripted</t>
        </is>
      </c>
      <c r="F335" s="9" t="inlineStr">
        <is>
          <t>no</t>
        </is>
      </c>
      <c r="G335" s="9" t="inlineStr">
        <is>
          <t>low</t>
        </is>
      </c>
      <c r="H335" s="9" t="inlineStr">
        <is>
          <t>no</t>
        </is>
      </c>
    </row>
    <row r="336">
      <c r="A336" s="9" t="n">
        <v>335</v>
      </c>
      <c r="B336" s="58" t="n">
        <v>46288</v>
      </c>
      <c r="C336" s="9" t="n">
        <v>4</v>
      </c>
      <c r="D336" s="9" t="inlineStr">
        <is>
          <t>praise</t>
        </is>
      </c>
      <c r="E336" s="9" t="inlineStr">
        <is>
          <t>praise_service</t>
        </is>
      </c>
      <c r="F336" s="9" t="inlineStr">
        <is>
          <t>no</t>
        </is>
      </c>
      <c r="G336" s="9" t="inlineStr">
        <is>
          <t>none</t>
        </is>
      </c>
      <c r="H336" s="9" t="inlineStr">
        <is>
          <t>no</t>
        </is>
      </c>
    </row>
    <row r="337">
      <c r="A337" s="9" t="n">
        <v>336</v>
      </c>
      <c r="B337" s="58" t="n">
        <v>46288</v>
      </c>
      <c r="C337" s="9" t="n">
        <v>2</v>
      </c>
      <c r="D337" s="9" t="inlineStr">
        <is>
          <t>support</t>
        </is>
      </c>
      <c r="E337" s="9" t="inlineStr">
        <is>
          <t>unhelpful_or_scripted</t>
        </is>
      </c>
      <c r="F337" s="9" t="inlineStr">
        <is>
          <t>yes</t>
        </is>
      </c>
      <c r="G337" s="9" t="inlineStr">
        <is>
          <t>low</t>
        </is>
      </c>
      <c r="H337" s="9" t="inlineStr">
        <is>
          <t>no</t>
        </is>
      </c>
    </row>
    <row r="338">
      <c r="A338" s="9" t="n">
        <v>337</v>
      </c>
      <c r="B338" s="58" t="n">
        <v>46287</v>
      </c>
      <c r="C338" s="9" t="n">
        <v>2</v>
      </c>
      <c r="D338" s="9" t="inlineStr">
        <is>
          <t>partner_cancellation</t>
        </is>
      </c>
      <c r="E338" s="9" t="inlineStr">
        <is>
          <t>no_show</t>
        </is>
      </c>
      <c r="F338" s="9" t="inlineStr">
        <is>
          <t>no</t>
        </is>
      </c>
      <c r="G338" s="9" t="inlineStr">
        <is>
          <t>medium</t>
        </is>
      </c>
      <c r="H338" s="9" t="inlineStr">
        <is>
          <t>no</t>
        </is>
      </c>
    </row>
    <row r="339">
      <c r="A339" s="9" t="n">
        <v>338</v>
      </c>
      <c r="B339" s="58" t="n">
        <v>46287</v>
      </c>
      <c r="C339" s="9" t="n">
        <v>5</v>
      </c>
      <c r="D339" s="9" t="inlineStr">
        <is>
          <t>praise</t>
        </is>
      </c>
      <c r="E339" s="9" t="inlineStr">
        <is>
          <t>praise_service</t>
        </is>
      </c>
      <c r="F339" s="9" t="inlineStr">
        <is>
          <t>no</t>
        </is>
      </c>
      <c r="G339" s="9" t="inlineStr">
        <is>
          <t>none</t>
        </is>
      </c>
      <c r="H339" s="9" t="inlineStr">
        <is>
          <t>no</t>
        </is>
      </c>
    </row>
    <row r="340">
      <c r="A340" s="9" t="n">
        <v>339</v>
      </c>
      <c r="B340" s="58" t="n">
        <v>46287</v>
      </c>
      <c r="C340" s="9" t="n">
        <v>1</v>
      </c>
      <c r="D340" s="9" t="inlineStr">
        <is>
          <t>price_clarity</t>
        </is>
      </c>
      <c r="E340" s="9" t="inlineStr">
        <is>
          <t>membership_or_package_confusion</t>
        </is>
      </c>
      <c r="F340" s="9" t="inlineStr">
        <is>
          <t>no</t>
        </is>
      </c>
      <c r="G340" s="9" t="inlineStr">
        <is>
          <t>high</t>
        </is>
      </c>
      <c r="H340" s="9" t="inlineStr">
        <is>
          <t>no</t>
        </is>
      </c>
    </row>
    <row r="341">
      <c r="A341" s="9" t="n">
        <v>340</v>
      </c>
      <c r="B341" s="58" t="n">
        <v>46287</v>
      </c>
      <c r="C341" s="9" t="n">
        <v>1</v>
      </c>
      <c r="D341" s="9" t="inlineStr">
        <is>
          <t>payment_refund</t>
        </is>
      </c>
      <c r="E341" s="9" t="inlineStr">
        <is>
          <t>refund_denied</t>
        </is>
      </c>
      <c r="F341" s="9" t="inlineStr">
        <is>
          <t>no</t>
        </is>
      </c>
      <c r="G341" s="9" t="inlineStr">
        <is>
          <t>high</t>
        </is>
      </c>
      <c r="H341" s="9" t="inlineStr">
        <is>
          <t>yes</t>
        </is>
      </c>
    </row>
    <row r="342">
      <c r="A342" s="9" t="n">
        <v>341</v>
      </c>
      <c r="B342" s="58" t="n">
        <v>46287</v>
      </c>
      <c r="C342" s="9" t="n">
        <v>5</v>
      </c>
      <c r="D342" s="9" t="inlineStr">
        <is>
          <t>praise</t>
        </is>
      </c>
      <c r="E342" s="9" t="inlineStr">
        <is>
          <t>praise_professional</t>
        </is>
      </c>
      <c r="F342" s="9" t="inlineStr">
        <is>
          <t>no</t>
        </is>
      </c>
      <c r="G342" s="9" t="inlineStr">
        <is>
          <t>none</t>
        </is>
      </c>
      <c r="H342" s="9" t="inlineStr">
        <is>
          <t>no</t>
        </is>
      </c>
    </row>
    <row r="343">
      <c r="A343" s="9" t="n">
        <v>342</v>
      </c>
      <c r="B343" s="58" t="n">
        <v>46287</v>
      </c>
      <c r="C343" s="9" t="n">
        <v>2</v>
      </c>
      <c r="D343" s="9" t="inlineStr">
        <is>
          <t>service_quality</t>
        </is>
      </c>
      <c r="E343" s="9" t="inlineStr">
        <is>
          <t>rushed_or_incomplete</t>
        </is>
      </c>
      <c r="F343" s="9" t="inlineStr">
        <is>
          <t>no</t>
        </is>
      </c>
      <c r="G343" s="9" t="inlineStr">
        <is>
          <t>medium</t>
        </is>
      </c>
      <c r="H343" s="9" t="inlineStr">
        <is>
          <t>no</t>
        </is>
      </c>
    </row>
    <row r="344">
      <c r="A344" s="9" t="n">
        <v>343</v>
      </c>
      <c r="B344" s="58" t="n">
        <v>46287</v>
      </c>
      <c r="C344" s="9" t="n">
        <v>1</v>
      </c>
      <c r="D344" s="9" t="inlineStr">
        <is>
          <t>price_clarity</t>
        </is>
      </c>
      <c r="E344" s="9" t="inlineStr">
        <is>
          <t>membership_or_package_confusion</t>
        </is>
      </c>
      <c r="F344" s="9" t="inlineStr">
        <is>
          <t>yes</t>
        </is>
      </c>
      <c r="G344" s="9" t="inlineStr">
        <is>
          <t>medium</t>
        </is>
      </c>
      <c r="H344" s="9" t="inlineStr">
        <is>
          <t>no</t>
        </is>
      </c>
    </row>
    <row r="345">
      <c r="A345" s="9" t="n">
        <v>344</v>
      </c>
      <c r="B345" s="58" t="n">
        <v>46287</v>
      </c>
      <c r="C345" s="9" t="n">
        <v>5</v>
      </c>
      <c r="D345" s="9" t="inlineStr">
        <is>
          <t>praise</t>
        </is>
      </c>
      <c r="E345" s="9" t="inlineStr">
        <is>
          <t>praise_professional</t>
        </is>
      </c>
      <c r="F345" s="9" t="inlineStr">
        <is>
          <t>no</t>
        </is>
      </c>
      <c r="G345" s="9" t="inlineStr">
        <is>
          <t>none</t>
        </is>
      </c>
      <c r="H345" s="9" t="inlineStr">
        <is>
          <t>no</t>
        </is>
      </c>
    </row>
    <row r="346">
      <c r="A346" s="9" t="n">
        <v>345</v>
      </c>
      <c r="B346" s="58" t="n">
        <v>46287</v>
      </c>
      <c r="C346" s="9" t="n">
        <v>5</v>
      </c>
      <c r="D346" s="9" t="inlineStr">
        <is>
          <t>other</t>
        </is>
      </c>
      <c r="E346" s="9" t="inlineStr">
        <is>
          <t>other_issue</t>
        </is>
      </c>
      <c r="F346" s="9" t="inlineStr">
        <is>
          <t>no</t>
        </is>
      </c>
      <c r="G346" s="9" t="inlineStr">
        <is>
          <t>low</t>
        </is>
      </c>
      <c r="H346" s="9" t="inlineStr">
        <is>
          <t>no</t>
        </is>
      </c>
    </row>
    <row r="347">
      <c r="A347" s="9" t="n">
        <v>346</v>
      </c>
      <c r="B347" s="58" t="n">
        <v>46287</v>
      </c>
      <c r="C347" s="9" t="n">
        <v>1</v>
      </c>
      <c r="D347" s="9" t="inlineStr">
        <is>
          <t>support</t>
        </is>
      </c>
      <c r="E347" s="9" t="inlineStr">
        <is>
          <t>unhelpful_or_scripted</t>
        </is>
      </c>
      <c r="F347" s="9" t="inlineStr">
        <is>
          <t>yes</t>
        </is>
      </c>
      <c r="G347" s="9" t="inlineStr">
        <is>
          <t>medium</t>
        </is>
      </c>
      <c r="H347" s="9" t="inlineStr">
        <is>
          <t>no</t>
        </is>
      </c>
    </row>
    <row r="348">
      <c r="A348" s="9" t="n">
        <v>347</v>
      </c>
      <c r="B348" s="58" t="n">
        <v>46286</v>
      </c>
      <c r="C348" s="9" t="n">
        <v>5</v>
      </c>
      <c r="D348" s="9" t="inlineStr">
        <is>
          <t>service_quality</t>
        </is>
      </c>
      <c r="E348" s="9" t="inlineStr">
        <is>
          <t>poor_skill</t>
        </is>
      </c>
      <c r="F348" s="9" t="inlineStr">
        <is>
          <t>no</t>
        </is>
      </c>
      <c r="G348" s="9" t="inlineStr">
        <is>
          <t>medium</t>
        </is>
      </c>
      <c r="H348" s="9" t="inlineStr">
        <is>
          <t>no</t>
        </is>
      </c>
    </row>
    <row r="349">
      <c r="A349" s="9" t="n">
        <v>348</v>
      </c>
      <c r="B349" s="58" t="n">
        <v>46286</v>
      </c>
      <c r="C349" s="9" t="n">
        <v>1</v>
      </c>
      <c r="D349" s="9" t="inlineStr">
        <is>
          <t>partner_cancellation</t>
        </is>
      </c>
      <c r="E349" s="9" t="inlineStr">
        <is>
          <t>last_minute_cancel</t>
        </is>
      </c>
      <c r="F349" s="9" t="inlineStr">
        <is>
          <t>no</t>
        </is>
      </c>
      <c r="G349" s="9" t="inlineStr">
        <is>
          <t>medium</t>
        </is>
      </c>
      <c r="H349" s="9" t="inlineStr">
        <is>
          <t>no</t>
        </is>
      </c>
    </row>
    <row r="350">
      <c r="A350" s="9" t="n">
        <v>349</v>
      </c>
      <c r="B350" s="58" t="n">
        <v>46286</v>
      </c>
      <c r="C350" s="9" t="n">
        <v>2</v>
      </c>
      <c r="D350" s="9" t="inlineStr">
        <is>
          <t>payment_refund</t>
        </is>
      </c>
      <c r="E350" s="9" t="inlineStr">
        <is>
          <t>refund_delayed</t>
        </is>
      </c>
      <c r="F350" s="9" t="inlineStr">
        <is>
          <t>no</t>
        </is>
      </c>
      <c r="G350" s="9" t="inlineStr">
        <is>
          <t>high</t>
        </is>
      </c>
      <c r="H350" s="9" t="inlineStr">
        <is>
          <t>no</t>
        </is>
      </c>
    </row>
    <row r="351">
      <c r="A351" s="9" t="n">
        <v>350</v>
      </c>
      <c r="B351" s="58" t="n">
        <v>46286</v>
      </c>
      <c r="C351" s="9" t="n">
        <v>3</v>
      </c>
      <c r="D351" s="9" t="inlineStr">
        <is>
          <t>product_fit</t>
        </is>
      </c>
      <c r="E351" s="9" t="inlineStr">
        <is>
          <t>product_quality</t>
        </is>
      </c>
      <c r="F351" s="9" t="inlineStr">
        <is>
          <t>no</t>
        </is>
      </c>
      <c r="G351" s="9" t="inlineStr">
        <is>
          <t>low</t>
        </is>
      </c>
      <c r="H351" s="9" t="inlineStr">
        <is>
          <t>no</t>
        </is>
      </c>
    </row>
    <row r="352">
      <c r="A352" s="9" t="n">
        <v>351</v>
      </c>
      <c r="B352" s="58" t="n">
        <v>46286</v>
      </c>
      <c r="C352" s="9" t="n">
        <v>5</v>
      </c>
      <c r="D352" s="9" t="inlineStr">
        <is>
          <t>service_quality</t>
        </is>
      </c>
      <c r="E352" s="9" t="inlineStr">
        <is>
          <t>hygiene</t>
        </is>
      </c>
      <c r="F352" s="9" t="inlineStr">
        <is>
          <t>no</t>
        </is>
      </c>
      <c r="G352" s="9" t="inlineStr">
        <is>
          <t>low</t>
        </is>
      </c>
      <c r="H352" s="9" t="inlineStr">
        <is>
          <t>no</t>
        </is>
      </c>
    </row>
    <row r="353">
      <c r="A353" s="9" t="n">
        <v>352</v>
      </c>
      <c r="B353" s="58" t="n">
        <v>46286</v>
      </c>
      <c r="C353" s="9" t="n">
        <v>5</v>
      </c>
      <c r="D353" s="9" t="inlineStr">
        <is>
          <t>praise</t>
        </is>
      </c>
      <c r="E353" s="9" t="inlineStr">
        <is>
          <t>praise_professional</t>
        </is>
      </c>
      <c r="F353" s="9" t="inlineStr">
        <is>
          <t>no</t>
        </is>
      </c>
      <c r="G353" s="9" t="inlineStr">
        <is>
          <t>none</t>
        </is>
      </c>
      <c r="H353" s="9" t="inlineStr">
        <is>
          <t>no</t>
        </is>
      </c>
    </row>
    <row r="354">
      <c r="A354" s="9" t="n">
        <v>353</v>
      </c>
      <c r="B354" s="58" t="n">
        <v>46286</v>
      </c>
      <c r="C354" s="9" t="n">
        <v>2</v>
      </c>
      <c r="D354" s="9" t="inlineStr">
        <is>
          <t>app</t>
        </is>
      </c>
      <c r="E354" s="9" t="inlineStr">
        <is>
          <t>other_app</t>
        </is>
      </c>
      <c r="F354" s="9" t="inlineStr">
        <is>
          <t>no</t>
        </is>
      </c>
      <c r="G354" s="9" t="inlineStr">
        <is>
          <t>low</t>
        </is>
      </c>
      <c r="H354" s="9" t="inlineStr">
        <is>
          <t>no</t>
        </is>
      </c>
    </row>
    <row r="355">
      <c r="A355" s="9" t="n">
        <v>354</v>
      </c>
      <c r="B355" s="58" t="n">
        <v>46286</v>
      </c>
      <c r="C355" s="9" t="n">
        <v>5</v>
      </c>
      <c r="D355" s="9" t="inlineStr">
        <is>
          <t>praise</t>
        </is>
      </c>
      <c r="E355" s="9" t="inlineStr">
        <is>
          <t>praise_service</t>
        </is>
      </c>
      <c r="F355" s="9" t="inlineStr">
        <is>
          <t>no</t>
        </is>
      </c>
      <c r="G355" s="9" t="inlineStr">
        <is>
          <t>none</t>
        </is>
      </c>
      <c r="H355" s="9" t="inlineStr">
        <is>
          <t>no</t>
        </is>
      </c>
    </row>
    <row r="356">
      <c r="A356" s="9" t="n">
        <v>355</v>
      </c>
      <c r="B356" s="58" t="n">
        <v>46286</v>
      </c>
      <c r="C356" s="9" t="n">
        <v>1</v>
      </c>
      <c r="D356" s="9" t="inlineStr">
        <is>
          <t>partner_cancellation</t>
        </is>
      </c>
      <c r="E356" s="9" t="inlineStr">
        <is>
          <t>no_show</t>
        </is>
      </c>
      <c r="F356" s="9" t="inlineStr">
        <is>
          <t>no</t>
        </is>
      </c>
      <c r="G356" s="9" t="inlineStr">
        <is>
          <t>medium</t>
        </is>
      </c>
      <c r="H356" s="9" t="inlineStr">
        <is>
          <t>no</t>
        </is>
      </c>
    </row>
    <row r="357">
      <c r="A357" s="9" t="n">
        <v>356</v>
      </c>
      <c r="B357" s="58" t="n">
        <v>46285</v>
      </c>
      <c r="C357" s="9" t="n">
        <v>5</v>
      </c>
      <c r="D357" s="9" t="inlineStr">
        <is>
          <t>praise</t>
        </is>
      </c>
      <c r="E357" s="9" t="inlineStr">
        <is>
          <t>praise_professional</t>
        </is>
      </c>
      <c r="F357" s="9" t="inlineStr">
        <is>
          <t>no</t>
        </is>
      </c>
      <c r="G357" s="9" t="inlineStr">
        <is>
          <t>none</t>
        </is>
      </c>
      <c r="H357" s="9" t="inlineStr">
        <is>
          <t>no</t>
        </is>
      </c>
    </row>
    <row r="358">
      <c r="A358" s="9" t="n">
        <v>357</v>
      </c>
      <c r="B358" s="58" t="n">
        <v>46285</v>
      </c>
      <c r="C358" s="9" t="n">
        <v>5</v>
      </c>
      <c r="D358" s="9" t="inlineStr">
        <is>
          <t>praise</t>
        </is>
      </c>
      <c r="E358" s="9" t="inlineStr">
        <is>
          <t>praise_service</t>
        </is>
      </c>
      <c r="F358" s="9" t="inlineStr">
        <is>
          <t>no</t>
        </is>
      </c>
      <c r="G358" s="9" t="inlineStr">
        <is>
          <t>none</t>
        </is>
      </c>
      <c r="H358" s="9" t="inlineStr">
        <is>
          <t>no</t>
        </is>
      </c>
    </row>
    <row r="359">
      <c r="A359" s="9" t="n">
        <v>358</v>
      </c>
      <c r="B359" s="58" t="n">
        <v>46285</v>
      </c>
      <c r="C359" s="9" t="n">
        <v>1</v>
      </c>
      <c r="D359" s="9" t="inlineStr">
        <is>
          <t>partner_cancellation</t>
        </is>
      </c>
      <c r="E359" s="9" t="inlineStr">
        <is>
          <t>last_minute_cancel</t>
        </is>
      </c>
      <c r="F359" s="9" t="inlineStr">
        <is>
          <t>no</t>
        </is>
      </c>
      <c r="G359" s="9" t="inlineStr">
        <is>
          <t>high</t>
        </is>
      </c>
      <c r="H359" s="9" t="inlineStr">
        <is>
          <t>no</t>
        </is>
      </c>
    </row>
    <row r="360">
      <c r="A360" s="9" t="n">
        <v>359</v>
      </c>
      <c r="B360" s="58" t="n">
        <v>46285</v>
      </c>
      <c r="C360" s="9" t="n">
        <v>1</v>
      </c>
      <c r="D360" s="9" t="inlineStr">
        <is>
          <t>price_clarity</t>
        </is>
      </c>
      <c r="E360" s="9" t="inlineStr">
        <is>
          <t>membership_or_package_confusion</t>
        </is>
      </c>
      <c r="F360" s="9" t="inlineStr">
        <is>
          <t>no</t>
        </is>
      </c>
      <c r="G360" s="9" t="inlineStr">
        <is>
          <t>medium</t>
        </is>
      </c>
      <c r="H360" s="9" t="inlineStr">
        <is>
          <t>no</t>
        </is>
      </c>
    </row>
    <row r="361">
      <c r="A361" s="9" t="n">
        <v>360</v>
      </c>
      <c r="B361" s="58" t="n">
        <v>46285</v>
      </c>
      <c r="C361" s="9" t="n">
        <v>1</v>
      </c>
      <c r="D361" s="9" t="inlineStr">
        <is>
          <t>service_quality</t>
        </is>
      </c>
      <c r="E361" s="9" t="inlineStr">
        <is>
          <t>poor_skill</t>
        </is>
      </c>
      <c r="F361" s="9" t="inlineStr">
        <is>
          <t>yes</t>
        </is>
      </c>
      <c r="G361" s="9" t="inlineStr">
        <is>
          <t>high</t>
        </is>
      </c>
      <c r="H361" s="9" t="inlineStr">
        <is>
          <t>no</t>
        </is>
      </c>
    </row>
    <row r="362">
      <c r="A362" s="9" t="n">
        <v>361</v>
      </c>
      <c r="B362" s="58" t="n">
        <v>46285</v>
      </c>
      <c r="C362" s="9" t="n">
        <v>2</v>
      </c>
      <c r="D362" s="9" t="inlineStr">
        <is>
          <t>other</t>
        </is>
      </c>
      <c r="E362" s="9" t="inlineStr">
        <is>
          <t>other_issue</t>
        </is>
      </c>
      <c r="F362" s="9" t="inlineStr">
        <is>
          <t>no</t>
        </is>
      </c>
      <c r="G362" s="9" t="inlineStr">
        <is>
          <t>low</t>
        </is>
      </c>
      <c r="H362" s="9" t="inlineStr">
        <is>
          <t>no</t>
        </is>
      </c>
    </row>
    <row r="363">
      <c r="A363" s="9" t="n">
        <v>362</v>
      </c>
      <c r="B363" s="58" t="n">
        <v>46285</v>
      </c>
      <c r="C363" s="9" t="n">
        <v>5</v>
      </c>
      <c r="D363" s="9" t="inlineStr">
        <is>
          <t>praise</t>
        </is>
      </c>
      <c r="E363" s="9" t="inlineStr">
        <is>
          <t>praise_professional</t>
        </is>
      </c>
      <c r="F363" s="9" t="inlineStr">
        <is>
          <t>no</t>
        </is>
      </c>
      <c r="G363" s="9" t="inlineStr">
        <is>
          <t>none</t>
        </is>
      </c>
      <c r="H363" s="9" t="inlineStr">
        <is>
          <t>no</t>
        </is>
      </c>
    </row>
    <row r="364">
      <c r="A364" s="9" t="n">
        <v>363</v>
      </c>
      <c r="B364" s="58" t="n">
        <v>46285</v>
      </c>
      <c r="C364" s="9" t="n">
        <v>4</v>
      </c>
      <c r="D364" s="9" t="inlineStr">
        <is>
          <t>praise</t>
        </is>
      </c>
      <c r="E364" s="9" t="inlineStr">
        <is>
          <t>praise_professional</t>
        </is>
      </c>
      <c r="F364" s="9" t="inlineStr">
        <is>
          <t>no</t>
        </is>
      </c>
      <c r="G364" s="9" t="inlineStr">
        <is>
          <t>none</t>
        </is>
      </c>
      <c r="H364" s="9" t="inlineStr">
        <is>
          <t>no</t>
        </is>
      </c>
    </row>
    <row r="365">
      <c r="A365" s="9" t="n">
        <v>364</v>
      </c>
      <c r="B365" s="58" t="n">
        <v>46285</v>
      </c>
      <c r="C365" s="9" t="n">
        <v>5</v>
      </c>
      <c r="D365" s="9" t="inlineStr">
        <is>
          <t>praise</t>
        </is>
      </c>
      <c r="E365" s="9" t="inlineStr">
        <is>
          <t>praise_service</t>
        </is>
      </c>
      <c r="F365" s="9" t="inlineStr">
        <is>
          <t>no</t>
        </is>
      </c>
      <c r="G365" s="9" t="inlineStr">
        <is>
          <t>none</t>
        </is>
      </c>
      <c r="H365" s="9" t="inlineStr">
        <is>
          <t>no</t>
        </is>
      </c>
    </row>
    <row r="366">
      <c r="A366" s="9" t="n">
        <v>365</v>
      </c>
      <c r="B366" s="58" t="n">
        <v>46285</v>
      </c>
      <c r="C366" s="9" t="n">
        <v>5</v>
      </c>
      <c r="D366" s="9" t="inlineStr">
        <is>
          <t>praise</t>
        </is>
      </c>
      <c r="E366" s="9" t="inlineStr">
        <is>
          <t>praise_service</t>
        </is>
      </c>
      <c r="F366" s="9" t="inlineStr">
        <is>
          <t>no</t>
        </is>
      </c>
      <c r="G366" s="9" t="inlineStr">
        <is>
          <t>none</t>
        </is>
      </c>
      <c r="H366" s="9" t="inlineStr">
        <is>
          <t>no</t>
        </is>
      </c>
    </row>
    <row r="367">
      <c r="A367" s="9" t="n">
        <v>366</v>
      </c>
      <c r="B367" s="58" t="n">
        <v>46285</v>
      </c>
      <c r="C367" s="9" t="n">
        <v>5</v>
      </c>
      <c r="D367" s="9" t="inlineStr">
        <is>
          <t>praise</t>
        </is>
      </c>
      <c r="E367" s="9" t="inlineStr">
        <is>
          <t>praise_service</t>
        </is>
      </c>
      <c r="F367" s="9" t="inlineStr">
        <is>
          <t>no</t>
        </is>
      </c>
      <c r="G367" s="9" t="inlineStr">
        <is>
          <t>none</t>
        </is>
      </c>
      <c r="H367" s="9" t="inlineStr">
        <is>
          <t>no</t>
        </is>
      </c>
    </row>
    <row r="368">
      <c r="A368" s="9" t="n">
        <v>367</v>
      </c>
      <c r="B368" s="58" t="n">
        <v>46285</v>
      </c>
      <c r="C368" s="9" t="n">
        <v>2</v>
      </c>
      <c r="D368" s="9" t="inlineStr">
        <is>
          <t>partner_cancellation</t>
        </is>
      </c>
      <c r="E368" s="9" t="inlineStr">
        <is>
          <t>last_minute_cancel</t>
        </is>
      </c>
      <c r="F368" s="9" t="inlineStr">
        <is>
          <t>no</t>
        </is>
      </c>
      <c r="G368" s="9" t="inlineStr">
        <is>
          <t>medium</t>
        </is>
      </c>
      <c r="H368" s="9" t="inlineStr">
        <is>
          <t>no</t>
        </is>
      </c>
    </row>
    <row r="369">
      <c r="A369" s="9" t="n">
        <v>368</v>
      </c>
      <c r="B369" s="58" t="n">
        <v>46285</v>
      </c>
      <c r="C369" s="9" t="n">
        <v>1</v>
      </c>
      <c r="D369" s="9" t="inlineStr">
        <is>
          <t>payment_refund</t>
        </is>
      </c>
      <c r="E369" s="9" t="inlineStr">
        <is>
          <t>charged_not_served</t>
        </is>
      </c>
      <c r="F369" s="9" t="inlineStr">
        <is>
          <t>no</t>
        </is>
      </c>
      <c r="G369" s="9" t="inlineStr">
        <is>
          <t>high</t>
        </is>
      </c>
      <c r="H369" s="9" t="inlineStr">
        <is>
          <t>no</t>
        </is>
      </c>
    </row>
    <row r="370">
      <c r="A370" s="9" t="n">
        <v>369</v>
      </c>
      <c r="B370" s="58" t="n">
        <v>46285</v>
      </c>
      <c r="C370" s="9" t="n">
        <v>5</v>
      </c>
      <c r="D370" s="9" t="inlineStr">
        <is>
          <t>praise</t>
        </is>
      </c>
      <c r="E370" s="9" t="inlineStr">
        <is>
          <t>praise_service</t>
        </is>
      </c>
      <c r="F370" s="9" t="inlineStr">
        <is>
          <t>no</t>
        </is>
      </c>
      <c r="G370" s="9" t="inlineStr">
        <is>
          <t>none</t>
        </is>
      </c>
      <c r="H370" s="9" t="inlineStr">
        <is>
          <t>no</t>
        </is>
      </c>
    </row>
    <row r="371">
      <c r="A371" s="9" t="n">
        <v>370</v>
      </c>
      <c r="B371" s="58" t="n">
        <v>46285</v>
      </c>
      <c r="C371" s="9" t="n">
        <v>1</v>
      </c>
      <c r="D371" s="9" t="inlineStr">
        <is>
          <t>other</t>
        </is>
      </c>
      <c r="E371" s="9" t="inlineStr">
        <is>
          <t>other_issue</t>
        </is>
      </c>
      <c r="F371" s="9" t="inlineStr">
        <is>
          <t>yes</t>
        </is>
      </c>
      <c r="G371" s="9" t="inlineStr">
        <is>
          <t>medium</t>
        </is>
      </c>
      <c r="H371" s="9" t="inlineStr">
        <is>
          <t>no</t>
        </is>
      </c>
    </row>
    <row r="372">
      <c r="A372" s="9" t="n">
        <v>371</v>
      </c>
      <c r="B372" s="58" t="n">
        <v>46285</v>
      </c>
      <c r="C372" s="9" t="n">
        <v>1</v>
      </c>
      <c r="D372" s="9" t="inlineStr">
        <is>
          <t>service_quality</t>
        </is>
      </c>
      <c r="E372" s="9" t="inlineStr">
        <is>
          <t>safety_or_theft</t>
        </is>
      </c>
      <c r="F372" s="9" t="inlineStr">
        <is>
          <t>yes</t>
        </is>
      </c>
      <c r="G372" s="9" t="inlineStr">
        <is>
          <t>high</t>
        </is>
      </c>
      <c r="H372" s="9" t="inlineStr">
        <is>
          <t>no</t>
        </is>
      </c>
    </row>
    <row r="373">
      <c r="A373" s="9" t="n">
        <v>372</v>
      </c>
      <c r="B373" s="58" t="n">
        <v>46285</v>
      </c>
      <c r="C373" s="9" t="n">
        <v>5</v>
      </c>
      <c r="D373" s="9" t="inlineStr">
        <is>
          <t>praise</t>
        </is>
      </c>
      <c r="E373" s="9" t="inlineStr">
        <is>
          <t>praise_service</t>
        </is>
      </c>
      <c r="F373" s="9" t="inlineStr">
        <is>
          <t>no</t>
        </is>
      </c>
      <c r="G373" s="9" t="inlineStr">
        <is>
          <t>none</t>
        </is>
      </c>
      <c r="H373" s="9" t="inlineStr">
        <is>
          <t>no</t>
        </is>
      </c>
    </row>
    <row r="374">
      <c r="A374" s="9" t="n">
        <v>373</v>
      </c>
      <c r="B374" s="58" t="n">
        <v>46284</v>
      </c>
      <c r="C374" s="9" t="n">
        <v>2</v>
      </c>
      <c r="D374" s="9" t="inlineStr">
        <is>
          <t>partner_cancellation</t>
        </is>
      </c>
      <c r="E374" s="9" t="inlineStr">
        <is>
          <t>repeated_reschedule</t>
        </is>
      </c>
      <c r="F374" s="9" t="inlineStr">
        <is>
          <t>yes</t>
        </is>
      </c>
      <c r="G374" s="9" t="inlineStr">
        <is>
          <t>medium</t>
        </is>
      </c>
      <c r="H374" s="9" t="inlineStr">
        <is>
          <t>no</t>
        </is>
      </c>
    </row>
    <row r="375">
      <c r="A375" s="9" t="n">
        <v>374</v>
      </c>
      <c r="B375" s="58" t="n">
        <v>46284</v>
      </c>
      <c r="C375" s="9" t="n">
        <v>5</v>
      </c>
      <c r="D375" s="9" t="inlineStr">
        <is>
          <t>praise</t>
        </is>
      </c>
      <c r="E375" s="9" t="inlineStr">
        <is>
          <t>praise_professional</t>
        </is>
      </c>
      <c r="F375" s="9" t="inlineStr">
        <is>
          <t>no</t>
        </is>
      </c>
      <c r="G375" s="9" t="inlineStr">
        <is>
          <t>none</t>
        </is>
      </c>
      <c r="H375" s="9" t="inlineStr">
        <is>
          <t>no</t>
        </is>
      </c>
    </row>
    <row r="376">
      <c r="A376" s="9" t="n">
        <v>375</v>
      </c>
      <c r="B376" s="58" t="n">
        <v>46284</v>
      </c>
      <c r="C376" s="9" t="n">
        <v>1</v>
      </c>
      <c r="D376" s="9" t="inlineStr">
        <is>
          <t>partner_cancellation</t>
        </is>
      </c>
      <c r="E376" s="9" t="inlineStr">
        <is>
          <t>last_minute_cancel</t>
        </is>
      </c>
      <c r="F376" s="9" t="inlineStr">
        <is>
          <t>no</t>
        </is>
      </c>
      <c r="G376" s="9" t="inlineStr">
        <is>
          <t>medium</t>
        </is>
      </c>
      <c r="H376" s="9" t="inlineStr">
        <is>
          <t>no</t>
        </is>
      </c>
    </row>
    <row r="377">
      <c r="A377" s="9" t="n">
        <v>376</v>
      </c>
      <c r="B377" s="58" t="n">
        <v>46284</v>
      </c>
      <c r="C377" s="9" t="n">
        <v>1</v>
      </c>
      <c r="D377" s="9" t="inlineStr">
        <is>
          <t>payment_refund</t>
        </is>
      </c>
      <c r="E377" s="9" t="inlineStr">
        <is>
          <t>charged_not_served</t>
        </is>
      </c>
      <c r="F377" s="9" t="inlineStr">
        <is>
          <t>no</t>
        </is>
      </c>
      <c r="G377" s="9" t="inlineStr">
        <is>
          <t>high</t>
        </is>
      </c>
      <c r="H377" s="9" t="inlineStr">
        <is>
          <t>no</t>
        </is>
      </c>
    </row>
    <row r="378">
      <c r="A378" s="9" t="n">
        <v>377</v>
      </c>
      <c r="B378" s="58" t="n">
        <v>46284</v>
      </c>
      <c r="C378" s="9" t="n">
        <v>5</v>
      </c>
      <c r="D378" s="9" t="inlineStr">
        <is>
          <t>praise</t>
        </is>
      </c>
      <c r="E378" s="9" t="inlineStr">
        <is>
          <t>praise_professional</t>
        </is>
      </c>
      <c r="F378" s="9" t="inlineStr">
        <is>
          <t>no</t>
        </is>
      </c>
      <c r="G378" s="9" t="inlineStr">
        <is>
          <t>none</t>
        </is>
      </c>
      <c r="H378" s="9" t="inlineStr">
        <is>
          <t>no</t>
        </is>
      </c>
    </row>
    <row r="379">
      <c r="A379" s="9" t="n">
        <v>378</v>
      </c>
      <c r="B379" s="58" t="n">
        <v>46284</v>
      </c>
      <c r="C379" s="9" t="n">
        <v>1</v>
      </c>
      <c r="D379" s="9" t="inlineStr">
        <is>
          <t>app</t>
        </is>
      </c>
      <c r="E379" s="9" t="inlineStr">
        <is>
          <t>booking_or_checkout_bug</t>
        </is>
      </c>
      <c r="F379" s="9" t="inlineStr">
        <is>
          <t>yes</t>
        </is>
      </c>
      <c r="G379" s="9" t="inlineStr">
        <is>
          <t>medium</t>
        </is>
      </c>
      <c r="H379" s="9" t="inlineStr">
        <is>
          <t>no</t>
        </is>
      </c>
    </row>
    <row r="380">
      <c r="A380" s="9" t="n">
        <v>379</v>
      </c>
      <c r="B380" s="58" t="n">
        <v>46284</v>
      </c>
      <c r="C380" s="9" t="n">
        <v>5</v>
      </c>
      <c r="D380" s="9" t="inlineStr">
        <is>
          <t>other</t>
        </is>
      </c>
      <c r="E380" s="9" t="inlineStr">
        <is>
          <t>other_issue</t>
        </is>
      </c>
      <c r="F380" s="9" t="inlineStr">
        <is>
          <t>no</t>
        </is>
      </c>
      <c r="G380" s="9" t="inlineStr">
        <is>
          <t>low</t>
        </is>
      </c>
      <c r="H380" s="9" t="inlineStr">
        <is>
          <t>no</t>
        </is>
      </c>
    </row>
    <row r="381">
      <c r="A381" s="9" t="n">
        <v>380</v>
      </c>
      <c r="B381" s="58" t="n">
        <v>46284</v>
      </c>
      <c r="C381" s="9" t="n">
        <v>1</v>
      </c>
      <c r="D381" s="9" t="inlineStr">
        <is>
          <t>partner_cancellation</t>
        </is>
      </c>
      <c r="E381" s="9" t="inlineStr">
        <is>
          <t>last_minute_cancel</t>
        </is>
      </c>
      <c r="F381" s="9" t="inlineStr">
        <is>
          <t>no</t>
        </is>
      </c>
      <c r="G381" s="9" t="inlineStr">
        <is>
          <t>medium</t>
        </is>
      </c>
      <c r="H381" s="9" t="inlineStr">
        <is>
          <t>no</t>
        </is>
      </c>
    </row>
    <row r="382">
      <c r="A382" s="9" t="n">
        <v>381</v>
      </c>
      <c r="B382" s="58" t="n">
        <v>46284</v>
      </c>
      <c r="C382" s="9" t="n">
        <v>5</v>
      </c>
      <c r="D382" s="9" t="inlineStr">
        <is>
          <t>praise</t>
        </is>
      </c>
      <c r="E382" s="9" t="inlineStr">
        <is>
          <t>praise_service</t>
        </is>
      </c>
      <c r="F382" s="9" t="inlineStr">
        <is>
          <t>no</t>
        </is>
      </c>
      <c r="G382" s="9" t="inlineStr">
        <is>
          <t>none</t>
        </is>
      </c>
      <c r="H382" s="9" t="inlineStr">
        <is>
          <t>no</t>
        </is>
      </c>
    </row>
    <row r="383">
      <c r="A383" s="9" t="n">
        <v>382</v>
      </c>
      <c r="B383" s="58" t="n">
        <v>46284</v>
      </c>
      <c r="C383" s="9" t="n">
        <v>1</v>
      </c>
      <c r="D383" s="9" t="inlineStr">
        <is>
          <t>service_quality</t>
        </is>
      </c>
      <c r="E383" s="9" t="inlineStr">
        <is>
          <t>hygiene</t>
        </is>
      </c>
      <c r="F383" s="9" t="inlineStr">
        <is>
          <t>yes</t>
        </is>
      </c>
      <c r="G383" s="9" t="inlineStr">
        <is>
          <t>medium</t>
        </is>
      </c>
      <c r="H383" s="9" t="inlineStr">
        <is>
          <t>no</t>
        </is>
      </c>
    </row>
    <row r="384">
      <c r="A384" s="9" t="n">
        <v>383</v>
      </c>
      <c r="B384" s="58" t="n">
        <v>46284</v>
      </c>
      <c r="C384" s="9" t="n">
        <v>3</v>
      </c>
      <c r="D384" s="9" t="inlineStr">
        <is>
          <t>other</t>
        </is>
      </c>
      <c r="E384" s="9" t="inlineStr">
        <is>
          <t>other_issue</t>
        </is>
      </c>
      <c r="F384" s="9" t="inlineStr">
        <is>
          <t>no</t>
        </is>
      </c>
      <c r="G384" s="9" t="inlineStr">
        <is>
          <t>low</t>
        </is>
      </c>
      <c r="H384" s="9" t="inlineStr">
        <is>
          <t>no</t>
        </is>
      </c>
    </row>
    <row r="385">
      <c r="A385" s="9" t="n">
        <v>384</v>
      </c>
      <c r="B385" s="58" t="n">
        <v>46284</v>
      </c>
      <c r="C385" s="9" t="n">
        <v>1</v>
      </c>
      <c r="D385" s="9" t="inlineStr">
        <is>
          <t>partner_cancellation</t>
        </is>
      </c>
      <c r="E385" s="9" t="inlineStr">
        <is>
          <t>last_minute_cancel</t>
        </is>
      </c>
      <c r="F385" s="9" t="inlineStr">
        <is>
          <t>yes</t>
        </is>
      </c>
      <c r="G385" s="9" t="inlineStr">
        <is>
          <t>medium</t>
        </is>
      </c>
      <c r="H385" s="9" t="inlineStr">
        <is>
          <t>no</t>
        </is>
      </c>
    </row>
    <row r="386">
      <c r="A386" s="9" t="n">
        <v>385</v>
      </c>
      <c r="B386" s="58" t="n">
        <v>46283</v>
      </c>
      <c r="C386" s="9" t="n">
        <v>1</v>
      </c>
      <c r="D386" s="9" t="inlineStr">
        <is>
          <t>praise</t>
        </is>
      </c>
      <c r="E386" s="9" t="inlineStr">
        <is>
          <t>praise_value</t>
        </is>
      </c>
      <c r="F386" s="9" t="inlineStr">
        <is>
          <t>no</t>
        </is>
      </c>
      <c r="G386" s="9" t="inlineStr">
        <is>
          <t>none</t>
        </is>
      </c>
      <c r="H386" s="9" t="inlineStr">
        <is>
          <t>no</t>
        </is>
      </c>
    </row>
    <row r="387">
      <c r="A387" s="9" t="n">
        <v>386</v>
      </c>
      <c r="B387" s="58" t="n">
        <v>46283</v>
      </c>
      <c r="C387" s="9" t="n">
        <v>5</v>
      </c>
      <c r="D387" s="9" t="inlineStr">
        <is>
          <t>praise</t>
        </is>
      </c>
      <c r="E387" s="9" t="inlineStr">
        <is>
          <t>praise_value</t>
        </is>
      </c>
      <c r="F387" s="9" t="inlineStr">
        <is>
          <t>no</t>
        </is>
      </c>
      <c r="G387" s="9" t="inlineStr">
        <is>
          <t>none</t>
        </is>
      </c>
      <c r="H387" s="9" t="inlineStr">
        <is>
          <t>no</t>
        </is>
      </c>
    </row>
    <row r="388">
      <c r="A388" s="9" t="n">
        <v>387</v>
      </c>
      <c r="B388" s="58" t="n">
        <v>46283</v>
      </c>
      <c r="C388" s="9" t="n">
        <v>2</v>
      </c>
      <c r="D388" s="9" t="inlineStr">
        <is>
          <t>app</t>
        </is>
      </c>
      <c r="E388" s="9" t="inlineStr">
        <is>
          <t>booking_or_checkout_bug</t>
        </is>
      </c>
      <c r="F388" s="9" t="inlineStr">
        <is>
          <t>no</t>
        </is>
      </c>
      <c r="G388" s="9" t="inlineStr">
        <is>
          <t>low</t>
        </is>
      </c>
      <c r="H388" s="9" t="inlineStr">
        <is>
          <t>no</t>
        </is>
      </c>
    </row>
    <row r="389">
      <c r="A389" s="9" t="n">
        <v>388</v>
      </c>
      <c r="B389" s="58" t="n">
        <v>46283</v>
      </c>
      <c r="C389" s="9" t="n">
        <v>5</v>
      </c>
      <c r="D389" s="9" t="inlineStr">
        <is>
          <t>praise</t>
        </is>
      </c>
      <c r="E389" s="9" t="inlineStr">
        <is>
          <t>praise_professional</t>
        </is>
      </c>
      <c r="F389" s="9" t="inlineStr">
        <is>
          <t>no</t>
        </is>
      </c>
      <c r="G389" s="9" t="inlineStr">
        <is>
          <t>none</t>
        </is>
      </c>
      <c r="H389" s="9" t="inlineStr">
        <is>
          <t>no</t>
        </is>
      </c>
    </row>
    <row r="390">
      <c r="A390" s="9" t="n">
        <v>389</v>
      </c>
      <c r="B390" s="58" t="n">
        <v>46283</v>
      </c>
      <c r="C390" s="9" t="n">
        <v>5</v>
      </c>
      <c r="D390" s="9" t="inlineStr">
        <is>
          <t>praise</t>
        </is>
      </c>
      <c r="E390" s="9" t="inlineStr">
        <is>
          <t>praise_service</t>
        </is>
      </c>
      <c r="F390" s="9" t="inlineStr">
        <is>
          <t>no</t>
        </is>
      </c>
      <c r="G390" s="9" t="inlineStr">
        <is>
          <t>none</t>
        </is>
      </c>
      <c r="H390" s="9" t="inlineStr">
        <is>
          <t>no</t>
        </is>
      </c>
    </row>
    <row r="391">
      <c r="A391" s="9" t="n">
        <v>390</v>
      </c>
      <c r="B391" s="58" t="n">
        <v>46283</v>
      </c>
      <c r="C391" s="9" t="n">
        <v>1</v>
      </c>
      <c r="D391" s="9" t="inlineStr">
        <is>
          <t>support</t>
        </is>
      </c>
      <c r="E391" s="9" t="inlineStr">
        <is>
          <t>unhelpful_or_scripted</t>
        </is>
      </c>
      <c r="F391" s="9" t="inlineStr">
        <is>
          <t>yes</t>
        </is>
      </c>
      <c r="G391" s="9" t="inlineStr">
        <is>
          <t>medium</t>
        </is>
      </c>
      <c r="H391" s="9" t="inlineStr">
        <is>
          <t>yes</t>
        </is>
      </c>
    </row>
    <row r="392">
      <c r="A392" s="9" t="n">
        <v>391</v>
      </c>
      <c r="B392" s="58" t="n">
        <v>46283</v>
      </c>
      <c r="C392" s="9" t="n">
        <v>5</v>
      </c>
      <c r="D392" s="9" t="inlineStr">
        <is>
          <t>praise</t>
        </is>
      </c>
      <c r="E392" s="9" t="inlineStr">
        <is>
          <t>praise_service</t>
        </is>
      </c>
      <c r="F392" s="9" t="inlineStr">
        <is>
          <t>no</t>
        </is>
      </c>
      <c r="G392" s="9" t="inlineStr">
        <is>
          <t>none</t>
        </is>
      </c>
      <c r="H392" s="9" t="inlineStr">
        <is>
          <t>no</t>
        </is>
      </c>
    </row>
    <row r="393">
      <c r="A393" s="9" t="n">
        <v>392</v>
      </c>
      <c r="B393" s="58" t="n">
        <v>46283</v>
      </c>
      <c r="C393" s="9" t="n">
        <v>5</v>
      </c>
      <c r="D393" s="9" t="inlineStr">
        <is>
          <t>praise</t>
        </is>
      </c>
      <c r="E393" s="9" t="inlineStr">
        <is>
          <t>praise_service</t>
        </is>
      </c>
      <c r="F393" s="9" t="inlineStr">
        <is>
          <t>no</t>
        </is>
      </c>
      <c r="G393" s="9" t="inlineStr">
        <is>
          <t>none</t>
        </is>
      </c>
      <c r="H393" s="9" t="inlineStr">
        <is>
          <t>no</t>
        </is>
      </c>
    </row>
    <row r="394">
      <c r="A394" s="9" t="n">
        <v>393</v>
      </c>
      <c r="B394" s="58" t="n">
        <v>46283</v>
      </c>
      <c r="C394" s="9" t="n">
        <v>1</v>
      </c>
      <c r="D394" s="9" t="inlineStr">
        <is>
          <t>service_quality</t>
        </is>
      </c>
      <c r="E394" s="9" t="inlineStr">
        <is>
          <t>rude_behaviour</t>
        </is>
      </c>
      <c r="F394" s="9" t="inlineStr">
        <is>
          <t>no</t>
        </is>
      </c>
      <c r="G394" s="9" t="inlineStr">
        <is>
          <t>medium</t>
        </is>
      </c>
      <c r="H394" s="9" t="inlineStr">
        <is>
          <t>no</t>
        </is>
      </c>
    </row>
    <row r="395">
      <c r="A395" s="9" t="n">
        <v>394</v>
      </c>
      <c r="B395" s="58" t="n">
        <v>46283</v>
      </c>
      <c r="C395" s="9" t="n">
        <v>5</v>
      </c>
      <c r="D395" s="9" t="inlineStr">
        <is>
          <t>praise</t>
        </is>
      </c>
      <c r="E395" s="9" t="inlineStr">
        <is>
          <t>praise_service</t>
        </is>
      </c>
      <c r="F395" s="9" t="inlineStr">
        <is>
          <t>no</t>
        </is>
      </c>
      <c r="G395" s="9" t="inlineStr">
        <is>
          <t>none</t>
        </is>
      </c>
      <c r="H395" s="9" t="inlineStr">
        <is>
          <t>no</t>
        </is>
      </c>
    </row>
    <row r="396">
      <c r="A396" s="9" t="n">
        <v>395</v>
      </c>
      <c r="B396" s="58" t="n">
        <v>46283</v>
      </c>
      <c r="C396" s="9" t="n">
        <v>1</v>
      </c>
      <c r="D396" s="9" t="inlineStr">
        <is>
          <t>support</t>
        </is>
      </c>
      <c r="E396" s="9" t="inlineStr">
        <is>
          <t>unreachable</t>
        </is>
      </c>
      <c r="F396" s="9" t="inlineStr">
        <is>
          <t>yes</t>
        </is>
      </c>
      <c r="G396" s="9" t="inlineStr">
        <is>
          <t>low</t>
        </is>
      </c>
      <c r="H396" s="9" t="inlineStr">
        <is>
          <t>no</t>
        </is>
      </c>
    </row>
    <row r="397">
      <c r="A397" s="9" t="n">
        <v>396</v>
      </c>
      <c r="B397" s="58" t="n">
        <v>46283</v>
      </c>
      <c r="C397" s="9" t="n">
        <v>1</v>
      </c>
      <c r="D397" s="9" t="inlineStr">
        <is>
          <t>service_quality</t>
        </is>
      </c>
      <c r="E397" s="9" t="inlineStr">
        <is>
          <t>rushed_or_incomplete</t>
        </is>
      </c>
      <c r="F397" s="9" t="inlineStr">
        <is>
          <t>no</t>
        </is>
      </c>
      <c r="G397" s="9" t="inlineStr">
        <is>
          <t>medium</t>
        </is>
      </c>
      <c r="H397" s="9" t="inlineStr">
        <is>
          <t>no</t>
        </is>
      </c>
    </row>
    <row r="398">
      <c r="A398" s="9" t="n">
        <v>397</v>
      </c>
      <c r="B398" s="58" t="n">
        <v>46283</v>
      </c>
      <c r="C398" s="9" t="n">
        <v>1</v>
      </c>
      <c r="D398" s="9" t="inlineStr">
        <is>
          <t>service_quality</t>
        </is>
      </c>
      <c r="E398" s="9" t="inlineStr">
        <is>
          <t>poor_skill</t>
        </is>
      </c>
      <c r="F398" s="9" t="inlineStr">
        <is>
          <t>no</t>
        </is>
      </c>
      <c r="G398" s="9" t="inlineStr">
        <is>
          <t>medium</t>
        </is>
      </c>
      <c r="H398" s="9" t="inlineStr">
        <is>
          <t>no</t>
        </is>
      </c>
    </row>
    <row r="399">
      <c r="A399" s="9" t="n">
        <v>398</v>
      </c>
      <c r="B399" s="58" t="n">
        <v>46283</v>
      </c>
      <c r="C399" s="9" t="n">
        <v>1</v>
      </c>
      <c r="D399" s="9" t="inlineStr">
        <is>
          <t>partner_cancellation</t>
        </is>
      </c>
      <c r="E399" s="9" t="inlineStr">
        <is>
          <t>repeated_reschedule</t>
        </is>
      </c>
      <c r="F399" s="9" t="inlineStr">
        <is>
          <t>no</t>
        </is>
      </c>
      <c r="G399" s="9" t="inlineStr">
        <is>
          <t>medium</t>
        </is>
      </c>
      <c r="H399" s="9" t="inlineStr">
        <is>
          <t>no</t>
        </is>
      </c>
    </row>
    <row r="400">
      <c r="A400" s="9" t="n">
        <v>399</v>
      </c>
      <c r="B400" s="58" t="n">
        <v>46283</v>
      </c>
      <c r="C400" s="9" t="n">
        <v>1</v>
      </c>
      <c r="D400" s="9" t="inlineStr">
        <is>
          <t>partner_cancellation</t>
        </is>
      </c>
      <c r="E400" s="9" t="inlineStr">
        <is>
          <t>no_show</t>
        </is>
      </c>
      <c r="F400" s="9" t="inlineStr">
        <is>
          <t>no</t>
        </is>
      </c>
      <c r="G400" s="9" t="inlineStr">
        <is>
          <t>medium</t>
        </is>
      </c>
      <c r="H400" s="9" t="inlineStr">
        <is>
          <t>yes</t>
        </is>
      </c>
    </row>
    <row r="401">
      <c r="A401" s="9" t="n">
        <v>400</v>
      </c>
      <c r="B401" s="58" t="n">
        <v>46283</v>
      </c>
      <c r="C401" s="9" t="n">
        <v>1</v>
      </c>
      <c r="D401" s="9" t="inlineStr">
        <is>
          <t>other</t>
        </is>
      </c>
      <c r="E401" s="9" t="inlineStr">
        <is>
          <t>other_issue</t>
        </is>
      </c>
      <c r="F401" s="9" t="inlineStr">
        <is>
          <t>no</t>
        </is>
      </c>
      <c r="G401" s="9" t="inlineStr">
        <is>
          <t>low</t>
        </is>
      </c>
      <c r="H401" s="9" t="inlineStr">
        <is>
          <t>no</t>
        </is>
      </c>
    </row>
    <row r="402">
      <c r="A402" s="9" t="n">
        <v>401</v>
      </c>
      <c r="B402" s="58" t="n">
        <v>46283</v>
      </c>
      <c r="C402" s="9" t="n">
        <v>5</v>
      </c>
      <c r="D402" s="9" t="inlineStr">
        <is>
          <t>praise</t>
        </is>
      </c>
      <c r="E402" s="9" t="inlineStr">
        <is>
          <t>praise_service</t>
        </is>
      </c>
      <c r="F402" s="9" t="inlineStr">
        <is>
          <t>no</t>
        </is>
      </c>
      <c r="G402" s="9" t="inlineStr">
        <is>
          <t>none</t>
        </is>
      </c>
      <c r="H402" s="9" t="inlineStr">
        <is>
          <t>no</t>
        </is>
      </c>
    </row>
    <row r="403">
      <c r="A403" s="9" t="n">
        <v>402</v>
      </c>
      <c r="B403" s="58" t="n">
        <v>46283</v>
      </c>
      <c r="C403" s="9" t="n">
        <v>5</v>
      </c>
      <c r="D403" s="9" t="inlineStr">
        <is>
          <t>praise</t>
        </is>
      </c>
      <c r="E403" s="9" t="inlineStr">
        <is>
          <t>praise_professional</t>
        </is>
      </c>
      <c r="F403" s="9" t="inlineStr">
        <is>
          <t>no</t>
        </is>
      </c>
      <c r="G403" s="9" t="inlineStr">
        <is>
          <t>none</t>
        </is>
      </c>
      <c r="H403" s="9" t="inlineStr">
        <is>
          <t>no</t>
        </is>
      </c>
    </row>
    <row r="404">
      <c r="A404" s="9" t="n">
        <v>403</v>
      </c>
      <c r="B404" s="58" t="n">
        <v>46283</v>
      </c>
      <c r="C404" s="9" t="n">
        <v>1</v>
      </c>
      <c r="D404" s="9" t="inlineStr">
        <is>
          <t>partner_cancellation</t>
        </is>
      </c>
      <c r="E404" s="9" t="inlineStr">
        <is>
          <t>last_minute_cancel</t>
        </is>
      </c>
      <c r="F404" s="9" t="inlineStr">
        <is>
          <t>no</t>
        </is>
      </c>
      <c r="G404" s="9" t="inlineStr">
        <is>
          <t>high</t>
        </is>
      </c>
      <c r="H404" s="9" t="inlineStr">
        <is>
          <t>no</t>
        </is>
      </c>
    </row>
    <row r="405">
      <c r="A405" s="9" t="n">
        <v>404</v>
      </c>
      <c r="B405" s="58" t="n">
        <v>46282</v>
      </c>
      <c r="C405" s="9" t="n">
        <v>1</v>
      </c>
      <c r="D405" s="9" t="inlineStr">
        <is>
          <t>payment_refund</t>
        </is>
      </c>
      <c r="E405" s="9" t="inlineStr">
        <is>
          <t>refund_denied</t>
        </is>
      </c>
      <c r="F405" s="9" t="inlineStr">
        <is>
          <t>yes</t>
        </is>
      </c>
      <c r="G405" s="9" t="inlineStr">
        <is>
          <t>high</t>
        </is>
      </c>
      <c r="H405" s="9" t="inlineStr">
        <is>
          <t>no</t>
        </is>
      </c>
    </row>
    <row r="406">
      <c r="A406" s="9" t="n">
        <v>405</v>
      </c>
      <c r="B406" s="58" t="n">
        <v>46282</v>
      </c>
      <c r="C406" s="9" t="n">
        <v>4</v>
      </c>
      <c r="D406" s="9" t="inlineStr">
        <is>
          <t>other</t>
        </is>
      </c>
      <c r="E406" s="9" t="inlineStr">
        <is>
          <t>other_issue</t>
        </is>
      </c>
      <c r="F406" s="9" t="inlineStr">
        <is>
          <t>no</t>
        </is>
      </c>
      <c r="G406" s="9" t="inlineStr">
        <is>
          <t>low</t>
        </is>
      </c>
      <c r="H406" s="9" t="inlineStr">
        <is>
          <t>no</t>
        </is>
      </c>
    </row>
    <row r="407">
      <c r="A407" s="9" t="n">
        <v>406</v>
      </c>
      <c r="B407" s="58" t="n">
        <v>46282</v>
      </c>
      <c r="C407" s="9" t="n">
        <v>1</v>
      </c>
      <c r="D407" s="9" t="inlineStr">
        <is>
          <t>other</t>
        </is>
      </c>
      <c r="E407" s="9" t="inlineStr">
        <is>
          <t>other_issue</t>
        </is>
      </c>
      <c r="F407" s="9" t="inlineStr">
        <is>
          <t>yes</t>
        </is>
      </c>
      <c r="G407" s="9" t="inlineStr">
        <is>
          <t>high</t>
        </is>
      </c>
      <c r="H407" s="9" t="inlineStr">
        <is>
          <t>no</t>
        </is>
      </c>
    </row>
    <row r="408">
      <c r="A408" s="9" t="n">
        <v>407</v>
      </c>
      <c r="B408" s="58" t="n">
        <v>46282</v>
      </c>
      <c r="C408" s="9" t="n">
        <v>3</v>
      </c>
      <c r="D408" s="9" t="inlineStr">
        <is>
          <t>support</t>
        </is>
      </c>
      <c r="E408" s="9" t="inlineStr">
        <is>
          <t>unhelpful_or_scripted</t>
        </is>
      </c>
      <c r="F408" s="9" t="inlineStr">
        <is>
          <t>yes</t>
        </is>
      </c>
      <c r="G408" s="9" t="inlineStr">
        <is>
          <t>low</t>
        </is>
      </c>
      <c r="H408" s="9" t="inlineStr">
        <is>
          <t>no</t>
        </is>
      </c>
    </row>
    <row r="409">
      <c r="A409" s="9" t="n">
        <v>408</v>
      </c>
      <c r="B409" s="58" t="n">
        <v>46282</v>
      </c>
      <c r="C409" s="9" t="n">
        <v>5</v>
      </c>
      <c r="D409" s="9" t="inlineStr">
        <is>
          <t>praise</t>
        </is>
      </c>
      <c r="E409" s="9" t="inlineStr">
        <is>
          <t>praise_service</t>
        </is>
      </c>
      <c r="F409" s="9" t="inlineStr">
        <is>
          <t>no</t>
        </is>
      </c>
      <c r="G409" s="9" t="inlineStr">
        <is>
          <t>none</t>
        </is>
      </c>
      <c r="H409" s="9" t="inlineStr">
        <is>
          <t>no</t>
        </is>
      </c>
    </row>
    <row r="410">
      <c r="A410" s="9" t="n">
        <v>409</v>
      </c>
      <c r="B410" s="58" t="n">
        <v>46282</v>
      </c>
      <c r="C410" s="9" t="n">
        <v>1</v>
      </c>
      <c r="D410" s="9" t="inlineStr">
        <is>
          <t>product_fit</t>
        </is>
      </c>
      <c r="E410" s="9" t="inlineStr">
        <is>
          <t>product_quality</t>
        </is>
      </c>
      <c r="F410" s="9" t="inlineStr">
        <is>
          <t>yes</t>
        </is>
      </c>
      <c r="G410" s="9" t="inlineStr">
        <is>
          <t>medium</t>
        </is>
      </c>
      <c r="H410" s="9" t="inlineStr">
        <is>
          <t>no</t>
        </is>
      </c>
    </row>
    <row r="411">
      <c r="A411" s="9" t="n">
        <v>410</v>
      </c>
      <c r="B411" s="58" t="n">
        <v>46282</v>
      </c>
      <c r="C411" s="9" t="n">
        <v>5</v>
      </c>
      <c r="D411" s="9" t="inlineStr">
        <is>
          <t>praise</t>
        </is>
      </c>
      <c r="E411" s="9" t="inlineStr">
        <is>
          <t>praise_service</t>
        </is>
      </c>
      <c r="F411" s="9" t="inlineStr">
        <is>
          <t>no</t>
        </is>
      </c>
      <c r="G411" s="9" t="inlineStr">
        <is>
          <t>none</t>
        </is>
      </c>
      <c r="H411" s="9" t="inlineStr">
        <is>
          <t>no</t>
        </is>
      </c>
    </row>
    <row r="412">
      <c r="A412" s="9" t="n">
        <v>411</v>
      </c>
      <c r="B412" s="58" t="n">
        <v>46282</v>
      </c>
      <c r="C412" s="9" t="n">
        <v>4</v>
      </c>
      <c r="D412" s="9" t="inlineStr">
        <is>
          <t>other</t>
        </is>
      </c>
      <c r="E412" s="9" t="inlineStr">
        <is>
          <t>other_issue</t>
        </is>
      </c>
      <c r="F412" s="9" t="inlineStr">
        <is>
          <t>no</t>
        </is>
      </c>
      <c r="G412" s="9" t="inlineStr">
        <is>
          <t>low</t>
        </is>
      </c>
      <c r="H412" s="9" t="inlineStr">
        <is>
          <t>no</t>
        </is>
      </c>
    </row>
    <row r="413">
      <c r="A413" s="9" t="n">
        <v>412</v>
      </c>
      <c r="B413" s="58" t="n">
        <v>46282</v>
      </c>
      <c r="C413" s="9" t="n">
        <v>1</v>
      </c>
      <c r="D413" s="9" t="inlineStr">
        <is>
          <t>delay</t>
        </is>
      </c>
      <c r="E413" s="9" t="inlineStr">
        <is>
          <t>slow_assignment</t>
        </is>
      </c>
      <c r="F413" s="9" t="inlineStr">
        <is>
          <t>yes</t>
        </is>
      </c>
      <c r="G413" s="9" t="inlineStr">
        <is>
          <t>medium</t>
        </is>
      </c>
      <c r="H413" s="9" t="inlineStr">
        <is>
          <t>yes</t>
        </is>
      </c>
    </row>
    <row r="414">
      <c r="A414" s="9" t="n">
        <v>413</v>
      </c>
      <c r="B414" s="58" t="n">
        <v>46282</v>
      </c>
      <c r="C414" s="9" t="n">
        <v>5</v>
      </c>
      <c r="D414" s="9" t="inlineStr">
        <is>
          <t>praise</t>
        </is>
      </c>
      <c r="E414" s="9" t="inlineStr">
        <is>
          <t>praise_service</t>
        </is>
      </c>
      <c r="F414" s="9" t="inlineStr">
        <is>
          <t>no</t>
        </is>
      </c>
      <c r="G414" s="9" t="inlineStr">
        <is>
          <t>none</t>
        </is>
      </c>
      <c r="H414" s="9" t="inlineStr">
        <is>
          <t>no</t>
        </is>
      </c>
    </row>
    <row r="415">
      <c r="A415" s="9" t="n">
        <v>414</v>
      </c>
      <c r="B415" s="58" t="n">
        <v>46282</v>
      </c>
      <c r="C415" s="9" t="n">
        <v>2</v>
      </c>
      <c r="D415" s="9" t="inlineStr">
        <is>
          <t>price_clarity</t>
        </is>
      </c>
      <c r="E415" s="9" t="inlineStr">
        <is>
          <t>membership_or_package_confusion</t>
        </is>
      </c>
      <c r="F415" s="9" t="inlineStr">
        <is>
          <t>no</t>
        </is>
      </c>
      <c r="G415" s="9" t="inlineStr">
        <is>
          <t>low</t>
        </is>
      </c>
      <c r="H415" s="9" t="inlineStr">
        <is>
          <t>no</t>
        </is>
      </c>
    </row>
    <row r="416">
      <c r="A416" s="9" t="n">
        <v>415</v>
      </c>
      <c r="B416" s="58" t="n">
        <v>46281</v>
      </c>
      <c r="C416" s="9" t="n">
        <v>5</v>
      </c>
      <c r="D416" s="9" t="inlineStr">
        <is>
          <t>praise</t>
        </is>
      </c>
      <c r="E416" s="9" t="inlineStr">
        <is>
          <t>praise_professional</t>
        </is>
      </c>
      <c r="F416" s="9" t="inlineStr">
        <is>
          <t>no</t>
        </is>
      </c>
      <c r="G416" s="9" t="inlineStr">
        <is>
          <t>none</t>
        </is>
      </c>
      <c r="H416" s="9" t="inlineStr">
        <is>
          <t>no</t>
        </is>
      </c>
    </row>
    <row r="417">
      <c r="A417" s="9" t="n">
        <v>416</v>
      </c>
      <c r="B417" s="58" t="n">
        <v>46281</v>
      </c>
      <c r="C417" s="9" t="n">
        <v>5</v>
      </c>
      <c r="D417" s="9" t="inlineStr">
        <is>
          <t>praise</t>
        </is>
      </c>
      <c r="E417" s="9" t="inlineStr">
        <is>
          <t>praise_service</t>
        </is>
      </c>
      <c r="F417" s="9" t="inlineStr">
        <is>
          <t>no</t>
        </is>
      </c>
      <c r="G417" s="9" t="inlineStr">
        <is>
          <t>none</t>
        </is>
      </c>
      <c r="H417" s="9" t="inlineStr">
        <is>
          <t>no</t>
        </is>
      </c>
    </row>
    <row r="418">
      <c r="A418" s="9" t="n">
        <v>417</v>
      </c>
      <c r="B418" s="58" t="n">
        <v>46281</v>
      </c>
      <c r="C418" s="9" t="n">
        <v>5</v>
      </c>
      <c r="D418" s="9" t="inlineStr">
        <is>
          <t>praise</t>
        </is>
      </c>
      <c r="E418" s="9" t="inlineStr">
        <is>
          <t>praise_professional</t>
        </is>
      </c>
      <c r="F418" s="9" t="inlineStr">
        <is>
          <t>no</t>
        </is>
      </c>
      <c r="G418" s="9" t="inlineStr">
        <is>
          <t>none</t>
        </is>
      </c>
      <c r="H418" s="9" t="inlineStr">
        <is>
          <t>no</t>
        </is>
      </c>
    </row>
    <row r="419">
      <c r="A419" s="9" t="n">
        <v>418</v>
      </c>
      <c r="B419" s="58" t="n">
        <v>46281</v>
      </c>
      <c r="C419" s="9" t="n">
        <v>5</v>
      </c>
      <c r="D419" s="9" t="inlineStr">
        <is>
          <t>praise</t>
        </is>
      </c>
      <c r="E419" s="9" t="inlineStr">
        <is>
          <t>praise_service</t>
        </is>
      </c>
      <c r="F419" s="9" t="inlineStr">
        <is>
          <t>no</t>
        </is>
      </c>
      <c r="G419" s="9" t="inlineStr">
        <is>
          <t>none</t>
        </is>
      </c>
      <c r="H419" s="9" t="inlineStr">
        <is>
          <t>no</t>
        </is>
      </c>
    </row>
    <row r="420">
      <c r="A420" s="9" t="n">
        <v>419</v>
      </c>
      <c r="B420" s="58" t="n">
        <v>46281</v>
      </c>
      <c r="C420" s="9" t="n">
        <v>5</v>
      </c>
      <c r="D420" s="9" t="inlineStr">
        <is>
          <t>praise</t>
        </is>
      </c>
      <c r="E420" s="9" t="inlineStr">
        <is>
          <t>praise_professional</t>
        </is>
      </c>
      <c r="F420" s="9" t="inlineStr">
        <is>
          <t>no</t>
        </is>
      </c>
      <c r="G420" s="9" t="inlineStr">
        <is>
          <t>none</t>
        </is>
      </c>
      <c r="H420" s="9" t="inlineStr">
        <is>
          <t>no</t>
        </is>
      </c>
    </row>
    <row r="421">
      <c r="A421" s="9" t="n">
        <v>420</v>
      </c>
      <c r="B421" s="58" t="n">
        <v>46281</v>
      </c>
      <c r="C421" s="9" t="n">
        <v>5</v>
      </c>
      <c r="D421" s="9" t="inlineStr">
        <is>
          <t>praise</t>
        </is>
      </c>
      <c r="E421" s="9" t="inlineStr">
        <is>
          <t>praise_professional</t>
        </is>
      </c>
      <c r="F421" s="9" t="inlineStr">
        <is>
          <t>no</t>
        </is>
      </c>
      <c r="G421" s="9" t="inlineStr">
        <is>
          <t>none</t>
        </is>
      </c>
      <c r="H421" s="9" t="inlineStr">
        <is>
          <t>no</t>
        </is>
      </c>
    </row>
    <row r="422">
      <c r="A422" s="9" t="n">
        <v>421</v>
      </c>
      <c r="B422" s="58" t="n">
        <v>46281</v>
      </c>
      <c r="C422" s="9" t="n">
        <v>3</v>
      </c>
      <c r="D422" s="9" t="inlineStr">
        <is>
          <t>other</t>
        </is>
      </c>
      <c r="E422" s="9" t="inlineStr">
        <is>
          <t>other_issue</t>
        </is>
      </c>
      <c r="F422" s="9" t="inlineStr">
        <is>
          <t>no</t>
        </is>
      </c>
      <c r="G422" s="9" t="inlineStr">
        <is>
          <t>low</t>
        </is>
      </c>
      <c r="H422" s="9" t="inlineStr">
        <is>
          <t>no</t>
        </is>
      </c>
    </row>
    <row r="423">
      <c r="A423" s="9" t="n">
        <v>422</v>
      </c>
      <c r="B423" s="58" t="n">
        <v>46281</v>
      </c>
      <c r="C423" s="9" t="n">
        <v>5</v>
      </c>
      <c r="D423" s="9" t="inlineStr">
        <is>
          <t>praise</t>
        </is>
      </c>
      <c r="E423" s="9" t="inlineStr">
        <is>
          <t>praise_service</t>
        </is>
      </c>
      <c r="F423" s="9" t="inlineStr">
        <is>
          <t>no</t>
        </is>
      </c>
      <c r="G423" s="9" t="inlineStr">
        <is>
          <t>none</t>
        </is>
      </c>
      <c r="H423" s="9" t="inlineStr">
        <is>
          <t>no</t>
        </is>
      </c>
    </row>
    <row r="424">
      <c r="A424" s="9" t="n">
        <v>423</v>
      </c>
      <c r="B424" s="58" t="n">
        <v>46281</v>
      </c>
      <c r="C424" s="9" t="n">
        <v>5</v>
      </c>
      <c r="D424" s="9" t="inlineStr">
        <is>
          <t>praise</t>
        </is>
      </c>
      <c r="E424" s="9" t="inlineStr">
        <is>
          <t>praise_service</t>
        </is>
      </c>
      <c r="F424" s="9" t="inlineStr">
        <is>
          <t>no</t>
        </is>
      </c>
      <c r="G424" s="9" t="inlineStr">
        <is>
          <t>none</t>
        </is>
      </c>
      <c r="H424" s="9" t="inlineStr">
        <is>
          <t>no</t>
        </is>
      </c>
    </row>
    <row r="425">
      <c r="A425" s="9" t="n">
        <v>424</v>
      </c>
      <c r="B425" s="58" t="n">
        <v>46281</v>
      </c>
      <c r="C425" s="9" t="n">
        <v>1</v>
      </c>
      <c r="D425" s="9" t="inlineStr">
        <is>
          <t>payment_refund</t>
        </is>
      </c>
      <c r="E425" s="9" t="inlineStr">
        <is>
          <t>charged_not_served</t>
        </is>
      </c>
      <c r="F425" s="9" t="inlineStr">
        <is>
          <t>yes</t>
        </is>
      </c>
      <c r="G425" s="9" t="inlineStr">
        <is>
          <t>high</t>
        </is>
      </c>
      <c r="H425" s="9" t="inlineStr">
        <is>
          <t>yes</t>
        </is>
      </c>
    </row>
    <row r="426">
      <c r="A426" s="9" t="n">
        <v>425</v>
      </c>
      <c r="B426" s="58" t="n">
        <v>46280</v>
      </c>
      <c r="C426" s="9" t="n">
        <v>1</v>
      </c>
      <c r="D426" s="9" t="inlineStr">
        <is>
          <t>service_quality</t>
        </is>
      </c>
      <c r="E426" s="9" t="inlineStr">
        <is>
          <t>poor_skill</t>
        </is>
      </c>
      <c r="F426" s="9" t="inlineStr">
        <is>
          <t>yes</t>
        </is>
      </c>
      <c r="G426" s="9" t="inlineStr">
        <is>
          <t>medium</t>
        </is>
      </c>
      <c r="H426" s="9" t="inlineStr">
        <is>
          <t>no</t>
        </is>
      </c>
    </row>
    <row r="427">
      <c r="A427" s="9" t="n">
        <v>426</v>
      </c>
      <c r="B427" s="58" t="n">
        <v>46280</v>
      </c>
      <c r="C427" s="9" t="n">
        <v>2</v>
      </c>
      <c r="D427" s="9" t="inlineStr">
        <is>
          <t>other</t>
        </is>
      </c>
      <c r="E427" s="9" t="inlineStr">
        <is>
          <t>other_issue</t>
        </is>
      </c>
      <c r="F427" s="9" t="inlineStr">
        <is>
          <t>no</t>
        </is>
      </c>
      <c r="G427" s="9" t="inlineStr">
        <is>
          <t>low</t>
        </is>
      </c>
      <c r="H427" s="9" t="inlineStr">
        <is>
          <t>no</t>
        </is>
      </c>
    </row>
    <row r="428">
      <c r="A428" s="9" t="n">
        <v>427</v>
      </c>
      <c r="B428" s="58" t="n">
        <v>46280</v>
      </c>
      <c r="C428" s="9" t="n">
        <v>1</v>
      </c>
      <c r="D428" s="9" t="inlineStr">
        <is>
          <t>service_quality</t>
        </is>
      </c>
      <c r="E428" s="9" t="inlineStr">
        <is>
          <t>poor_skill</t>
        </is>
      </c>
      <c r="F428" s="9" t="inlineStr">
        <is>
          <t>no</t>
        </is>
      </c>
      <c r="G428" s="9" t="inlineStr">
        <is>
          <t>high</t>
        </is>
      </c>
      <c r="H428" s="9" t="inlineStr">
        <is>
          <t>no</t>
        </is>
      </c>
    </row>
    <row r="429">
      <c r="A429" s="9" t="n">
        <v>428</v>
      </c>
      <c r="B429" s="58" t="n">
        <v>46280</v>
      </c>
      <c r="C429" s="9" t="n">
        <v>5</v>
      </c>
      <c r="D429" s="9" t="inlineStr">
        <is>
          <t>praise</t>
        </is>
      </c>
      <c r="E429" s="9" t="inlineStr">
        <is>
          <t>praise_professional</t>
        </is>
      </c>
      <c r="F429" s="9" t="inlineStr">
        <is>
          <t>no</t>
        </is>
      </c>
      <c r="G429" s="9" t="inlineStr">
        <is>
          <t>none</t>
        </is>
      </c>
      <c r="H429" s="9" t="inlineStr">
        <is>
          <t>no</t>
        </is>
      </c>
    </row>
    <row r="430">
      <c r="A430" s="9" t="n">
        <v>429</v>
      </c>
      <c r="B430" s="58" t="n">
        <v>46280</v>
      </c>
      <c r="C430" s="9" t="n">
        <v>3</v>
      </c>
      <c r="D430" s="9" t="inlineStr">
        <is>
          <t>payment_refund</t>
        </is>
      </c>
      <c r="E430" s="9" t="inlineStr">
        <is>
          <t>refund_delayed</t>
        </is>
      </c>
      <c r="F430" s="9" t="inlineStr">
        <is>
          <t>yes</t>
        </is>
      </c>
      <c r="G430" s="9" t="inlineStr">
        <is>
          <t>high</t>
        </is>
      </c>
      <c r="H430" s="9" t="inlineStr">
        <is>
          <t>no</t>
        </is>
      </c>
    </row>
    <row r="431">
      <c r="A431" s="9" t="n">
        <v>430</v>
      </c>
      <c r="B431" s="58" t="n">
        <v>46280</v>
      </c>
      <c r="C431" s="9" t="n">
        <v>5</v>
      </c>
      <c r="D431" s="9" t="inlineStr">
        <is>
          <t>praise</t>
        </is>
      </c>
      <c r="E431" s="9" t="inlineStr">
        <is>
          <t>praise_service</t>
        </is>
      </c>
      <c r="F431" s="9" t="inlineStr">
        <is>
          <t>no</t>
        </is>
      </c>
      <c r="G431" s="9" t="inlineStr">
        <is>
          <t>none</t>
        </is>
      </c>
      <c r="H431" s="9" t="inlineStr">
        <is>
          <t>no</t>
        </is>
      </c>
    </row>
    <row r="432">
      <c r="A432" s="9" t="n">
        <v>431</v>
      </c>
      <c r="B432" s="58" t="n">
        <v>46280</v>
      </c>
      <c r="C432" s="9" t="n">
        <v>4</v>
      </c>
      <c r="D432" s="9" t="inlineStr">
        <is>
          <t>support</t>
        </is>
      </c>
      <c r="E432" s="9" t="inlineStr">
        <is>
          <t>unreachable</t>
        </is>
      </c>
      <c r="F432" s="9" t="inlineStr">
        <is>
          <t>yes</t>
        </is>
      </c>
      <c r="G432" s="9" t="inlineStr">
        <is>
          <t>low</t>
        </is>
      </c>
      <c r="H432" s="9" t="inlineStr">
        <is>
          <t>no</t>
        </is>
      </c>
    </row>
    <row r="433">
      <c r="A433" s="9" t="n">
        <v>432</v>
      </c>
      <c r="B433" s="58" t="n">
        <v>46280</v>
      </c>
      <c r="C433" s="9" t="n">
        <v>1</v>
      </c>
      <c r="D433" s="9" t="inlineStr">
        <is>
          <t>service_quality</t>
        </is>
      </c>
      <c r="E433" s="9" t="inlineStr">
        <is>
          <t>rude_behaviour</t>
        </is>
      </c>
      <c r="F433" s="9" t="inlineStr">
        <is>
          <t>no</t>
        </is>
      </c>
      <c r="G433" s="9" t="inlineStr">
        <is>
          <t>medium</t>
        </is>
      </c>
      <c r="H433" s="9" t="inlineStr">
        <is>
          <t>yes</t>
        </is>
      </c>
    </row>
    <row r="434">
      <c r="A434" s="9" t="n">
        <v>433</v>
      </c>
      <c r="B434" s="58" t="n">
        <v>46280</v>
      </c>
      <c r="C434" s="9" t="n">
        <v>1</v>
      </c>
      <c r="D434" s="9" t="inlineStr">
        <is>
          <t>partner_cancellation</t>
        </is>
      </c>
      <c r="E434" s="9" t="inlineStr">
        <is>
          <t>repeated_reschedule</t>
        </is>
      </c>
      <c r="F434" s="9" t="inlineStr">
        <is>
          <t>yes</t>
        </is>
      </c>
      <c r="G434" s="9" t="inlineStr">
        <is>
          <t>medium</t>
        </is>
      </c>
      <c r="H434" s="9" t="inlineStr">
        <is>
          <t>no</t>
        </is>
      </c>
    </row>
    <row r="435">
      <c r="A435" s="9" t="n">
        <v>434</v>
      </c>
      <c r="B435" s="58" t="n">
        <v>46279</v>
      </c>
      <c r="C435" s="9" t="n">
        <v>5</v>
      </c>
      <c r="D435" s="9" t="inlineStr">
        <is>
          <t>praise</t>
        </is>
      </c>
      <c r="E435" s="9" t="inlineStr">
        <is>
          <t>praise_service</t>
        </is>
      </c>
      <c r="F435" s="9" t="inlineStr">
        <is>
          <t>no</t>
        </is>
      </c>
      <c r="G435" s="9" t="inlineStr">
        <is>
          <t>none</t>
        </is>
      </c>
      <c r="H435" s="9" t="inlineStr">
        <is>
          <t>no</t>
        </is>
      </c>
    </row>
    <row r="436">
      <c r="A436" s="9" t="n">
        <v>435</v>
      </c>
      <c r="B436" s="58" t="n">
        <v>46279</v>
      </c>
      <c r="C436" s="9" t="n">
        <v>1</v>
      </c>
      <c r="D436" s="9" t="inlineStr">
        <is>
          <t>other</t>
        </is>
      </c>
      <c r="E436" s="9" t="inlineStr">
        <is>
          <t>unclear</t>
        </is>
      </c>
      <c r="F436" s="9" t="inlineStr">
        <is>
          <t>no</t>
        </is>
      </c>
      <c r="G436" s="9" t="inlineStr">
        <is>
          <t>low</t>
        </is>
      </c>
      <c r="H436" s="9" t="inlineStr">
        <is>
          <t>no</t>
        </is>
      </c>
    </row>
    <row r="437">
      <c r="A437" s="9" t="n">
        <v>436</v>
      </c>
      <c r="B437" s="58" t="n">
        <v>46279</v>
      </c>
      <c r="C437" s="9" t="n">
        <v>5</v>
      </c>
      <c r="D437" s="9" t="inlineStr">
        <is>
          <t>praise</t>
        </is>
      </c>
      <c r="E437" s="9" t="inlineStr">
        <is>
          <t>praise_professional</t>
        </is>
      </c>
      <c r="F437" s="9" t="inlineStr">
        <is>
          <t>no</t>
        </is>
      </c>
      <c r="G437" s="9" t="inlineStr">
        <is>
          <t>none</t>
        </is>
      </c>
      <c r="H437" s="9" t="inlineStr">
        <is>
          <t>no</t>
        </is>
      </c>
    </row>
    <row r="438">
      <c r="A438" s="9" t="n">
        <v>437</v>
      </c>
      <c r="B438" s="58" t="n">
        <v>46279</v>
      </c>
      <c r="C438" s="9" t="n">
        <v>5</v>
      </c>
      <c r="D438" s="9" t="inlineStr">
        <is>
          <t>praise</t>
        </is>
      </c>
      <c r="E438" s="9" t="inlineStr">
        <is>
          <t>praise_professional</t>
        </is>
      </c>
      <c r="F438" s="9" t="inlineStr">
        <is>
          <t>no</t>
        </is>
      </c>
      <c r="G438" s="9" t="inlineStr">
        <is>
          <t>none</t>
        </is>
      </c>
      <c r="H438" s="9" t="inlineStr">
        <is>
          <t>no</t>
        </is>
      </c>
    </row>
    <row r="439">
      <c r="A439" s="9" t="n">
        <v>438</v>
      </c>
      <c r="B439" s="58" t="n">
        <v>46279</v>
      </c>
      <c r="C439" s="9" t="n">
        <v>5</v>
      </c>
      <c r="D439" s="9" t="inlineStr">
        <is>
          <t>praise</t>
        </is>
      </c>
      <c r="E439" s="9" t="inlineStr">
        <is>
          <t>praise_service</t>
        </is>
      </c>
      <c r="F439" s="9" t="inlineStr">
        <is>
          <t>no</t>
        </is>
      </c>
      <c r="G439" s="9" t="inlineStr">
        <is>
          <t>none</t>
        </is>
      </c>
      <c r="H439" s="9" t="inlineStr">
        <is>
          <t>no</t>
        </is>
      </c>
    </row>
    <row r="440">
      <c r="A440" s="9" t="n">
        <v>439</v>
      </c>
      <c r="B440" s="58" t="n">
        <v>46278</v>
      </c>
      <c r="C440" s="9" t="n">
        <v>1</v>
      </c>
      <c r="D440" s="9" t="inlineStr">
        <is>
          <t>price_clarity</t>
        </is>
      </c>
      <c r="E440" s="9" t="inlineStr">
        <is>
          <t>price_mismatch</t>
        </is>
      </c>
      <c r="F440" s="9" t="inlineStr">
        <is>
          <t>yes</t>
        </is>
      </c>
      <c r="G440" s="9" t="inlineStr">
        <is>
          <t>medium</t>
        </is>
      </c>
      <c r="H440" s="9" t="inlineStr">
        <is>
          <t>no</t>
        </is>
      </c>
    </row>
    <row r="441">
      <c r="A441" s="9" t="n">
        <v>440</v>
      </c>
      <c r="B441" s="58" t="n">
        <v>46278</v>
      </c>
      <c r="C441" s="9" t="n">
        <v>1</v>
      </c>
      <c r="D441" s="9" t="inlineStr">
        <is>
          <t>service_quality</t>
        </is>
      </c>
      <c r="E441" s="9" t="inlineStr">
        <is>
          <t>skin_injury_or_reaction</t>
        </is>
      </c>
      <c r="F441" s="9" t="inlineStr">
        <is>
          <t>no</t>
        </is>
      </c>
      <c r="G441" s="9" t="inlineStr">
        <is>
          <t>high</t>
        </is>
      </c>
      <c r="H441" s="9" t="inlineStr">
        <is>
          <t>no</t>
        </is>
      </c>
    </row>
    <row r="442">
      <c r="A442" s="9" t="n">
        <v>441</v>
      </c>
      <c r="B442" s="58" t="n">
        <v>46278</v>
      </c>
      <c r="C442" s="9" t="n">
        <v>5</v>
      </c>
      <c r="D442" s="9" t="inlineStr">
        <is>
          <t>praise</t>
        </is>
      </c>
      <c r="E442" s="9" t="inlineStr">
        <is>
          <t>praise_value</t>
        </is>
      </c>
      <c r="F442" s="9" t="inlineStr">
        <is>
          <t>no</t>
        </is>
      </c>
      <c r="G442" s="9" t="inlineStr">
        <is>
          <t>none</t>
        </is>
      </c>
      <c r="H442" s="9" t="inlineStr">
        <is>
          <t>no</t>
        </is>
      </c>
    </row>
    <row r="443">
      <c r="A443" s="9" t="n">
        <v>442</v>
      </c>
      <c r="B443" s="58" t="n">
        <v>46278</v>
      </c>
      <c r="C443" s="9" t="n">
        <v>1</v>
      </c>
      <c r="D443" s="9" t="inlineStr">
        <is>
          <t>service_quality</t>
        </is>
      </c>
      <c r="E443" s="9" t="inlineStr">
        <is>
          <t>poor_skill</t>
        </is>
      </c>
      <c r="F443" s="9" t="inlineStr">
        <is>
          <t>no</t>
        </is>
      </c>
      <c r="G443" s="9" t="inlineStr">
        <is>
          <t>medium</t>
        </is>
      </c>
      <c r="H443" s="9" t="inlineStr">
        <is>
          <t>yes</t>
        </is>
      </c>
    </row>
    <row r="444">
      <c r="A444" s="9" t="n">
        <v>443</v>
      </c>
      <c r="B444" s="58" t="n">
        <v>46278</v>
      </c>
      <c r="C444" s="9" t="n">
        <v>1</v>
      </c>
      <c r="D444" s="9" t="inlineStr">
        <is>
          <t>partner_cancellation</t>
        </is>
      </c>
      <c r="E444" s="9" t="inlineStr">
        <is>
          <t>no_show</t>
        </is>
      </c>
      <c r="F444" s="9" t="inlineStr">
        <is>
          <t>yes</t>
        </is>
      </c>
      <c r="G444" s="9" t="inlineStr">
        <is>
          <t>medium</t>
        </is>
      </c>
      <c r="H444" s="9" t="inlineStr">
        <is>
          <t>no</t>
        </is>
      </c>
    </row>
    <row r="445">
      <c r="A445" s="9" t="n">
        <v>444</v>
      </c>
      <c r="B445" s="58" t="n">
        <v>46278</v>
      </c>
      <c r="C445" s="9" t="n">
        <v>2</v>
      </c>
      <c r="D445" s="9" t="inlineStr">
        <is>
          <t>delay</t>
        </is>
      </c>
      <c r="E445" s="9" t="inlineStr">
        <is>
          <t>late_arrival</t>
        </is>
      </c>
      <c r="F445" s="9" t="inlineStr">
        <is>
          <t>yes</t>
        </is>
      </c>
      <c r="G445" s="9" t="inlineStr">
        <is>
          <t>medium</t>
        </is>
      </c>
      <c r="H445" s="9" t="inlineStr">
        <is>
          <t>no</t>
        </is>
      </c>
    </row>
    <row r="446">
      <c r="A446" s="9" t="n">
        <v>445</v>
      </c>
      <c r="B446" s="58" t="n">
        <v>46278</v>
      </c>
      <c r="C446" s="9" t="n">
        <v>1</v>
      </c>
      <c r="D446" s="9" t="inlineStr">
        <is>
          <t>partner_cancellation</t>
        </is>
      </c>
      <c r="E446" s="9" t="inlineStr">
        <is>
          <t>last_minute_cancel</t>
        </is>
      </c>
      <c r="F446" s="9" t="inlineStr">
        <is>
          <t>no</t>
        </is>
      </c>
      <c r="G446" s="9" t="inlineStr">
        <is>
          <t>medium</t>
        </is>
      </c>
      <c r="H446" s="9" t="inlineStr">
        <is>
          <t>no</t>
        </is>
      </c>
    </row>
    <row r="447">
      <c r="A447" s="9" t="n">
        <v>446</v>
      </c>
      <c r="B447" s="58" t="n">
        <v>46278</v>
      </c>
      <c r="C447" s="9" t="n">
        <v>1</v>
      </c>
      <c r="D447" s="9" t="inlineStr">
        <is>
          <t>other</t>
        </is>
      </c>
      <c r="E447" s="9" t="inlineStr">
        <is>
          <t>unclear</t>
        </is>
      </c>
      <c r="F447" s="9" t="inlineStr">
        <is>
          <t>yes</t>
        </is>
      </c>
      <c r="G447" s="9" t="inlineStr">
        <is>
          <t>medium</t>
        </is>
      </c>
      <c r="H447" s="9" t="inlineStr">
        <is>
          <t>no</t>
        </is>
      </c>
    </row>
    <row r="448">
      <c r="A448" s="9" t="n">
        <v>447</v>
      </c>
      <c r="B448" s="58" t="n">
        <v>46278</v>
      </c>
      <c r="C448" s="9" t="n">
        <v>5</v>
      </c>
      <c r="D448" s="9" t="inlineStr">
        <is>
          <t>praise</t>
        </is>
      </c>
      <c r="E448" s="9" t="inlineStr">
        <is>
          <t>praise_professional</t>
        </is>
      </c>
      <c r="F448" s="9" t="inlineStr">
        <is>
          <t>no</t>
        </is>
      </c>
      <c r="G448" s="9" t="inlineStr">
        <is>
          <t>none</t>
        </is>
      </c>
      <c r="H448" s="9" t="inlineStr">
        <is>
          <t>no</t>
        </is>
      </c>
    </row>
    <row r="449">
      <c r="A449" s="9" t="n">
        <v>448</v>
      </c>
      <c r="B449" s="58" t="n">
        <v>46278</v>
      </c>
      <c r="C449" s="9" t="n">
        <v>5</v>
      </c>
      <c r="D449" s="9" t="inlineStr">
        <is>
          <t>praise</t>
        </is>
      </c>
      <c r="E449" s="9" t="inlineStr">
        <is>
          <t>praise_service</t>
        </is>
      </c>
      <c r="F449" s="9" t="inlineStr">
        <is>
          <t>no</t>
        </is>
      </c>
      <c r="G449" s="9" t="inlineStr">
        <is>
          <t>none</t>
        </is>
      </c>
      <c r="H449" s="9" t="inlineStr">
        <is>
          <t>no</t>
        </is>
      </c>
    </row>
    <row r="450">
      <c r="A450" s="9" t="n">
        <v>449</v>
      </c>
      <c r="B450" s="58" t="n">
        <v>46278</v>
      </c>
      <c r="C450" s="9" t="n">
        <v>5</v>
      </c>
      <c r="D450" s="9" t="inlineStr">
        <is>
          <t>praise</t>
        </is>
      </c>
      <c r="E450" s="9" t="inlineStr">
        <is>
          <t>praise_service</t>
        </is>
      </c>
      <c r="F450" s="9" t="inlineStr">
        <is>
          <t>no</t>
        </is>
      </c>
      <c r="G450" s="9" t="inlineStr">
        <is>
          <t>none</t>
        </is>
      </c>
      <c r="H450" s="9" t="inlineStr">
        <is>
          <t>no</t>
        </is>
      </c>
    </row>
    <row r="451">
      <c r="A451" s="9" t="n">
        <v>450</v>
      </c>
      <c r="B451" s="58" t="n">
        <v>46278</v>
      </c>
      <c r="C451" s="9" t="n">
        <v>1</v>
      </c>
      <c r="D451" s="9" t="inlineStr">
        <is>
          <t>partner_cancellation</t>
        </is>
      </c>
      <c r="E451" s="9" t="inlineStr">
        <is>
          <t>last_minute_cancel</t>
        </is>
      </c>
      <c r="F451" s="9" t="inlineStr">
        <is>
          <t>no</t>
        </is>
      </c>
      <c r="G451" s="9" t="inlineStr">
        <is>
          <t>high</t>
        </is>
      </c>
      <c r="H451" s="9" t="inlineStr">
        <is>
          <t>yes</t>
        </is>
      </c>
    </row>
    <row r="452">
      <c r="A452" s="9" t="n">
        <v>451</v>
      </c>
      <c r="B452" s="58" t="n">
        <v>46278</v>
      </c>
      <c r="C452" s="9" t="n">
        <v>5</v>
      </c>
      <c r="D452" s="9" t="inlineStr">
        <is>
          <t>praise</t>
        </is>
      </c>
      <c r="E452" s="9" t="inlineStr">
        <is>
          <t>praise_service</t>
        </is>
      </c>
      <c r="F452" s="9" t="inlineStr">
        <is>
          <t>no</t>
        </is>
      </c>
      <c r="G452" s="9" t="inlineStr">
        <is>
          <t>none</t>
        </is>
      </c>
      <c r="H452" s="9" t="inlineStr">
        <is>
          <t>no</t>
        </is>
      </c>
    </row>
    <row r="453">
      <c r="A453" s="9" t="n">
        <v>452</v>
      </c>
      <c r="B453" s="58" t="n">
        <v>46278</v>
      </c>
      <c r="C453" s="9" t="n">
        <v>1</v>
      </c>
      <c r="D453" s="9" t="inlineStr">
        <is>
          <t>partner_cancellation</t>
        </is>
      </c>
      <c r="E453" s="9" t="inlineStr">
        <is>
          <t>last_minute_cancel</t>
        </is>
      </c>
      <c r="F453" s="9" t="inlineStr">
        <is>
          <t>yes</t>
        </is>
      </c>
      <c r="G453" s="9" t="inlineStr">
        <is>
          <t>medium</t>
        </is>
      </c>
      <c r="H453" s="9" t="inlineStr">
        <is>
          <t>no</t>
        </is>
      </c>
    </row>
    <row r="454">
      <c r="A454" s="9" t="n">
        <v>453</v>
      </c>
      <c r="B454" s="58" t="n">
        <v>46278</v>
      </c>
      <c r="C454" s="9" t="n">
        <v>5</v>
      </c>
      <c r="D454" s="9" t="inlineStr">
        <is>
          <t>praise</t>
        </is>
      </c>
      <c r="E454" s="9" t="inlineStr">
        <is>
          <t>praise_professional</t>
        </is>
      </c>
      <c r="F454" s="9" t="inlineStr">
        <is>
          <t>no</t>
        </is>
      </c>
      <c r="G454" s="9" t="inlineStr">
        <is>
          <t>none</t>
        </is>
      </c>
      <c r="H454" s="9" t="inlineStr">
        <is>
          <t>no</t>
        </is>
      </c>
    </row>
    <row r="455">
      <c r="A455" s="9" t="n">
        <v>454</v>
      </c>
      <c r="B455" s="58" t="n">
        <v>46278</v>
      </c>
      <c r="C455" s="9" t="n">
        <v>5</v>
      </c>
      <c r="D455" s="9" t="inlineStr">
        <is>
          <t>payment_refund</t>
        </is>
      </c>
      <c r="E455" s="9" t="inlineStr">
        <is>
          <t>charged_not_served</t>
        </is>
      </c>
      <c r="F455" s="9" t="inlineStr">
        <is>
          <t>yes</t>
        </is>
      </c>
      <c r="G455" s="9" t="inlineStr">
        <is>
          <t>high</t>
        </is>
      </c>
      <c r="H455" s="9" t="inlineStr">
        <is>
          <t>no</t>
        </is>
      </c>
    </row>
    <row r="456">
      <c r="A456" s="9" t="n">
        <v>455</v>
      </c>
      <c r="B456" s="58" t="n">
        <v>46278</v>
      </c>
      <c r="C456" s="9" t="n">
        <v>1</v>
      </c>
      <c r="D456" s="9" t="inlineStr">
        <is>
          <t>support</t>
        </is>
      </c>
      <c r="E456" s="9" t="inlineStr">
        <is>
          <t>unreachable</t>
        </is>
      </c>
      <c r="F456" s="9" t="inlineStr">
        <is>
          <t>yes</t>
        </is>
      </c>
      <c r="G456" s="9" t="inlineStr">
        <is>
          <t>low</t>
        </is>
      </c>
      <c r="H456" s="9" t="inlineStr">
        <is>
          <t>no</t>
        </is>
      </c>
    </row>
    <row r="457">
      <c r="A457" s="9" t="n">
        <v>456</v>
      </c>
      <c r="B457" s="58" t="n">
        <v>46278</v>
      </c>
      <c r="C457" s="9" t="n">
        <v>1</v>
      </c>
      <c r="D457" s="9" t="inlineStr">
        <is>
          <t>payment_refund</t>
        </is>
      </c>
      <c r="E457" s="9" t="inlineStr">
        <is>
          <t>refund_denied</t>
        </is>
      </c>
      <c r="F457" s="9" t="inlineStr">
        <is>
          <t>no</t>
        </is>
      </c>
      <c r="G457" s="9" t="inlineStr">
        <is>
          <t>high</t>
        </is>
      </c>
      <c r="H457" s="9" t="inlineStr">
        <is>
          <t>no</t>
        </is>
      </c>
    </row>
    <row r="458">
      <c r="A458" s="9" t="n">
        <v>457</v>
      </c>
      <c r="B458" s="58" t="n">
        <v>46278</v>
      </c>
      <c r="C458" s="9" t="n">
        <v>1</v>
      </c>
      <c r="D458" s="9" t="inlineStr">
        <is>
          <t>support</t>
        </is>
      </c>
      <c r="E458" s="9" t="inlineStr">
        <is>
          <t>unhelpful_or_scripted</t>
        </is>
      </c>
      <c r="F458" s="9" t="inlineStr">
        <is>
          <t>yes</t>
        </is>
      </c>
      <c r="G458" s="9" t="inlineStr">
        <is>
          <t>low</t>
        </is>
      </c>
      <c r="H458" s="9" t="inlineStr">
        <is>
          <t>no</t>
        </is>
      </c>
    </row>
    <row r="459">
      <c r="A459" s="9" t="n">
        <v>458</v>
      </c>
      <c r="B459" s="58" t="n">
        <v>46277</v>
      </c>
      <c r="C459" s="9" t="n">
        <v>1</v>
      </c>
      <c r="D459" s="9" t="inlineStr">
        <is>
          <t>partner_cancellation</t>
        </is>
      </c>
      <c r="E459" s="9" t="inlineStr">
        <is>
          <t>last_minute_cancel</t>
        </is>
      </c>
      <c r="F459" s="9" t="inlineStr">
        <is>
          <t>yes</t>
        </is>
      </c>
      <c r="G459" s="9" t="inlineStr">
        <is>
          <t>medium</t>
        </is>
      </c>
      <c r="H459" s="9" t="inlineStr">
        <is>
          <t>no</t>
        </is>
      </c>
    </row>
    <row r="460">
      <c r="A460" s="9" t="n">
        <v>459</v>
      </c>
      <c r="B460" s="58" t="n">
        <v>46277</v>
      </c>
      <c r="C460" s="9" t="n">
        <v>5</v>
      </c>
      <c r="D460" s="9" t="inlineStr">
        <is>
          <t>service_quality</t>
        </is>
      </c>
      <c r="E460" s="9" t="inlineStr">
        <is>
          <t>poor_skill</t>
        </is>
      </c>
      <c r="F460" s="9" t="inlineStr">
        <is>
          <t>yes</t>
        </is>
      </c>
      <c r="G460" s="9" t="inlineStr">
        <is>
          <t>high</t>
        </is>
      </c>
      <c r="H460" s="9" t="inlineStr">
        <is>
          <t>no</t>
        </is>
      </c>
    </row>
    <row r="461">
      <c r="A461" s="9" t="n">
        <v>460</v>
      </c>
      <c r="B461" s="58" t="n">
        <v>46277</v>
      </c>
      <c r="C461" s="9" t="n">
        <v>1</v>
      </c>
      <c r="D461" s="9" t="inlineStr">
        <is>
          <t>partner_cancellation</t>
        </is>
      </c>
      <c r="E461" s="9" t="inlineStr">
        <is>
          <t>last_minute_cancel</t>
        </is>
      </c>
      <c r="F461" s="9" t="inlineStr">
        <is>
          <t>no</t>
        </is>
      </c>
      <c r="G461" s="9" t="inlineStr">
        <is>
          <t>medium</t>
        </is>
      </c>
      <c r="H461" s="9" t="inlineStr">
        <is>
          <t>no</t>
        </is>
      </c>
    </row>
    <row r="462">
      <c r="A462" s="9" t="n">
        <v>461</v>
      </c>
      <c r="B462" s="58" t="n">
        <v>46277</v>
      </c>
      <c r="C462" s="9" t="n">
        <v>1</v>
      </c>
      <c r="D462" s="9" t="inlineStr">
        <is>
          <t>partner_cancellation</t>
        </is>
      </c>
      <c r="E462" s="9" t="inlineStr">
        <is>
          <t>last_minute_cancel</t>
        </is>
      </c>
      <c r="F462" s="9" t="inlineStr">
        <is>
          <t>no</t>
        </is>
      </c>
      <c r="G462" s="9" t="inlineStr">
        <is>
          <t>medium</t>
        </is>
      </c>
      <c r="H462" s="9" t="inlineStr">
        <is>
          <t>no</t>
        </is>
      </c>
    </row>
    <row r="463">
      <c r="A463" s="9" t="n">
        <v>462</v>
      </c>
      <c r="B463" s="58" t="n">
        <v>46277</v>
      </c>
      <c r="C463" s="9" t="n">
        <v>5</v>
      </c>
      <c r="D463" s="9" t="inlineStr">
        <is>
          <t>other</t>
        </is>
      </c>
      <c r="E463" s="9" t="inlineStr">
        <is>
          <t>unclear</t>
        </is>
      </c>
      <c r="F463" s="9" t="inlineStr">
        <is>
          <t>no</t>
        </is>
      </c>
      <c r="G463" s="9" t="inlineStr">
        <is>
          <t>none</t>
        </is>
      </c>
      <c r="H463" s="9" t="inlineStr">
        <is>
          <t>no</t>
        </is>
      </c>
    </row>
    <row r="464">
      <c r="A464" s="9" t="n">
        <v>463</v>
      </c>
      <c r="B464" s="58" t="n">
        <v>46277</v>
      </c>
      <c r="C464" s="9" t="n">
        <v>1</v>
      </c>
      <c r="D464" s="9" t="inlineStr">
        <is>
          <t>other</t>
        </is>
      </c>
      <c r="E464" s="9" t="inlineStr">
        <is>
          <t>other_issue</t>
        </is>
      </c>
      <c r="F464" s="9" t="inlineStr">
        <is>
          <t>no</t>
        </is>
      </c>
      <c r="G464" s="9" t="inlineStr">
        <is>
          <t>low</t>
        </is>
      </c>
      <c r="H464" s="9" t="inlineStr">
        <is>
          <t>no</t>
        </is>
      </c>
    </row>
    <row r="465">
      <c r="A465" s="9" t="n">
        <v>464</v>
      </c>
      <c r="B465" s="58" t="n">
        <v>46277</v>
      </c>
      <c r="C465" s="9" t="n">
        <v>4</v>
      </c>
      <c r="D465" s="9" t="inlineStr">
        <is>
          <t>app</t>
        </is>
      </c>
      <c r="E465" s="9" t="inlineStr">
        <is>
          <t>other_app</t>
        </is>
      </c>
      <c r="F465" s="9" t="inlineStr">
        <is>
          <t>no</t>
        </is>
      </c>
      <c r="G465" s="9" t="inlineStr">
        <is>
          <t>low</t>
        </is>
      </c>
      <c r="H465" s="9" t="inlineStr">
        <is>
          <t>no</t>
        </is>
      </c>
    </row>
    <row r="466">
      <c r="A466" s="9" t="n">
        <v>465</v>
      </c>
      <c r="B466" s="58" t="n">
        <v>46277</v>
      </c>
      <c r="C466" s="9" t="n">
        <v>1</v>
      </c>
      <c r="D466" s="9" t="inlineStr">
        <is>
          <t>partner_cancellation</t>
        </is>
      </c>
      <c r="E466" s="9" t="inlineStr">
        <is>
          <t>repeated_reschedule</t>
        </is>
      </c>
      <c r="F466" s="9" t="inlineStr">
        <is>
          <t>no</t>
        </is>
      </c>
      <c r="G466" s="9" t="inlineStr">
        <is>
          <t>medium</t>
        </is>
      </c>
      <c r="H466" s="9" t="inlineStr">
        <is>
          <t>no</t>
        </is>
      </c>
    </row>
    <row r="467">
      <c r="A467" s="9" t="n">
        <v>466</v>
      </c>
      <c r="B467" s="58" t="n">
        <v>46277</v>
      </c>
      <c r="C467" s="9" t="n">
        <v>1</v>
      </c>
      <c r="D467" s="9" t="inlineStr">
        <is>
          <t>service_quality</t>
        </is>
      </c>
      <c r="E467" s="9" t="inlineStr">
        <is>
          <t>rushed_or_incomplete</t>
        </is>
      </c>
      <c r="F467" s="9" t="inlineStr">
        <is>
          <t>yes</t>
        </is>
      </c>
      <c r="G467" s="9" t="inlineStr">
        <is>
          <t>medium</t>
        </is>
      </c>
      <c r="H467" s="9" t="inlineStr">
        <is>
          <t>no</t>
        </is>
      </c>
    </row>
    <row r="468">
      <c r="A468" s="9" t="n">
        <v>467</v>
      </c>
      <c r="B468" s="58" t="n">
        <v>46277</v>
      </c>
      <c r="C468" s="9" t="n">
        <v>5</v>
      </c>
      <c r="D468" s="9" t="inlineStr">
        <is>
          <t>praise</t>
        </is>
      </c>
      <c r="E468" s="9" t="inlineStr">
        <is>
          <t>praise_value</t>
        </is>
      </c>
      <c r="F468" s="9" t="inlineStr">
        <is>
          <t>no</t>
        </is>
      </c>
      <c r="G468" s="9" t="inlineStr">
        <is>
          <t>none</t>
        </is>
      </c>
      <c r="H468" s="9" t="inlineStr">
        <is>
          <t>no</t>
        </is>
      </c>
    </row>
    <row r="469">
      <c r="A469" s="9" t="n">
        <v>468</v>
      </c>
      <c r="B469" s="58" t="n">
        <v>46277</v>
      </c>
      <c r="C469" s="9" t="n">
        <v>5</v>
      </c>
      <c r="D469" s="9" t="inlineStr">
        <is>
          <t>praise</t>
        </is>
      </c>
      <c r="E469" s="9" t="inlineStr">
        <is>
          <t>praise_service</t>
        </is>
      </c>
      <c r="F469" s="9" t="inlineStr">
        <is>
          <t>no</t>
        </is>
      </c>
      <c r="G469" s="9" t="inlineStr">
        <is>
          <t>none</t>
        </is>
      </c>
      <c r="H469" s="9" t="inlineStr">
        <is>
          <t>no</t>
        </is>
      </c>
    </row>
    <row r="470">
      <c r="A470" s="9" t="n">
        <v>469</v>
      </c>
      <c r="B470" s="58" t="n">
        <v>46277</v>
      </c>
      <c r="C470" s="9" t="n">
        <v>1</v>
      </c>
      <c r="D470" s="9" t="inlineStr">
        <is>
          <t>app</t>
        </is>
      </c>
      <c r="E470" s="9" t="inlineStr">
        <is>
          <t>booking_or_checkout_bug</t>
        </is>
      </c>
      <c r="F470" s="9" t="inlineStr">
        <is>
          <t>yes</t>
        </is>
      </c>
      <c r="G470" s="9" t="inlineStr">
        <is>
          <t>high</t>
        </is>
      </c>
      <c r="H470" s="9" t="inlineStr">
        <is>
          <t>no</t>
        </is>
      </c>
    </row>
    <row r="471">
      <c r="A471" s="9" t="n">
        <v>470</v>
      </c>
      <c r="B471" s="58" t="n">
        <v>46277</v>
      </c>
      <c r="C471" s="9" t="n">
        <v>5</v>
      </c>
      <c r="D471" s="9" t="inlineStr">
        <is>
          <t>praise</t>
        </is>
      </c>
      <c r="E471" s="9" t="inlineStr">
        <is>
          <t>praise_service</t>
        </is>
      </c>
      <c r="F471" s="9" t="inlineStr">
        <is>
          <t>no</t>
        </is>
      </c>
      <c r="G471" s="9" t="inlineStr">
        <is>
          <t>none</t>
        </is>
      </c>
      <c r="H471" s="9" t="inlineStr">
        <is>
          <t>no</t>
        </is>
      </c>
    </row>
    <row r="472">
      <c r="A472" s="9" t="n">
        <v>471</v>
      </c>
      <c r="B472" s="58" t="n">
        <v>46277</v>
      </c>
      <c r="C472" s="9" t="n">
        <v>1</v>
      </c>
      <c r="D472" s="9" t="inlineStr">
        <is>
          <t>service_quality</t>
        </is>
      </c>
      <c r="E472" s="9" t="inlineStr">
        <is>
          <t>safety_or_theft</t>
        </is>
      </c>
      <c r="F472" s="9" t="inlineStr">
        <is>
          <t>yes</t>
        </is>
      </c>
      <c r="G472" s="9" t="inlineStr">
        <is>
          <t>high</t>
        </is>
      </c>
      <c r="H472" s="9" t="inlineStr">
        <is>
          <t>no</t>
        </is>
      </c>
    </row>
    <row r="473">
      <c r="A473" s="9" t="n">
        <v>472</v>
      </c>
      <c r="B473" s="58" t="n">
        <v>46277</v>
      </c>
      <c r="C473" s="9" t="n">
        <v>4</v>
      </c>
      <c r="D473" s="9" t="inlineStr">
        <is>
          <t>other</t>
        </is>
      </c>
      <c r="E473" s="9" t="inlineStr">
        <is>
          <t>other_issue</t>
        </is>
      </c>
      <c r="F473" s="9" t="inlineStr">
        <is>
          <t>no</t>
        </is>
      </c>
      <c r="G473" s="9" t="inlineStr">
        <is>
          <t>low</t>
        </is>
      </c>
      <c r="H473" s="9" t="inlineStr">
        <is>
          <t>no</t>
        </is>
      </c>
    </row>
    <row r="474">
      <c r="A474" s="9" t="n">
        <v>473</v>
      </c>
      <c r="B474" s="58" t="n">
        <v>46276</v>
      </c>
      <c r="C474" s="9" t="n">
        <v>1</v>
      </c>
      <c r="D474" s="9" t="inlineStr">
        <is>
          <t>app</t>
        </is>
      </c>
      <c r="E474" s="9" t="inlineStr">
        <is>
          <t>other_app</t>
        </is>
      </c>
      <c r="F474" s="9" t="inlineStr">
        <is>
          <t>no</t>
        </is>
      </c>
      <c r="G474" s="9" t="inlineStr">
        <is>
          <t>medium</t>
        </is>
      </c>
      <c r="H474" s="9" t="inlineStr">
        <is>
          <t>no</t>
        </is>
      </c>
    </row>
    <row r="475">
      <c r="A475" s="9" t="n">
        <v>474</v>
      </c>
      <c r="B475" s="58" t="n">
        <v>46276</v>
      </c>
      <c r="C475" s="9" t="n">
        <v>2</v>
      </c>
      <c r="D475" s="9" t="inlineStr">
        <is>
          <t>app</t>
        </is>
      </c>
      <c r="E475" s="9" t="inlineStr">
        <is>
          <t>crash_or_wont_open</t>
        </is>
      </c>
      <c r="F475" s="9" t="inlineStr">
        <is>
          <t>no</t>
        </is>
      </c>
      <c r="G475" s="9" t="inlineStr">
        <is>
          <t>low</t>
        </is>
      </c>
      <c r="H475" s="9" t="inlineStr">
        <is>
          <t>no</t>
        </is>
      </c>
    </row>
    <row r="476">
      <c r="A476" s="9" t="n">
        <v>475</v>
      </c>
      <c r="B476" s="58" t="n">
        <v>46276</v>
      </c>
      <c r="C476" s="9" t="n">
        <v>3</v>
      </c>
      <c r="D476" s="9" t="inlineStr">
        <is>
          <t>partner_cancellation</t>
        </is>
      </c>
      <c r="E476" s="9" t="inlineStr">
        <is>
          <t>no_partner_available</t>
        </is>
      </c>
      <c r="F476" s="9" t="inlineStr">
        <is>
          <t>no</t>
        </is>
      </c>
      <c r="G476" s="9" t="inlineStr">
        <is>
          <t>low</t>
        </is>
      </c>
      <c r="H476" s="9" t="inlineStr">
        <is>
          <t>no</t>
        </is>
      </c>
    </row>
    <row r="477">
      <c r="A477" s="9" t="n">
        <v>476</v>
      </c>
      <c r="B477" s="58" t="n">
        <v>46276</v>
      </c>
      <c r="C477" s="9" t="n">
        <v>1</v>
      </c>
      <c r="D477" s="9" t="inlineStr">
        <is>
          <t>price_clarity</t>
        </is>
      </c>
      <c r="E477" s="9" t="inlineStr">
        <is>
          <t>hidden_charges</t>
        </is>
      </c>
      <c r="F477" s="9" t="inlineStr">
        <is>
          <t>no</t>
        </is>
      </c>
      <c r="G477" s="9" t="inlineStr">
        <is>
          <t>low</t>
        </is>
      </c>
      <c r="H477" s="9" t="inlineStr">
        <is>
          <t>no</t>
        </is>
      </c>
    </row>
    <row r="478">
      <c r="A478" s="9" t="n">
        <v>477</v>
      </c>
      <c r="B478" s="58" t="n">
        <v>46276</v>
      </c>
      <c r="C478" s="9" t="n">
        <v>3</v>
      </c>
      <c r="D478" s="9" t="inlineStr">
        <is>
          <t>other</t>
        </is>
      </c>
      <c r="E478" s="9" t="inlineStr">
        <is>
          <t>other_issue</t>
        </is>
      </c>
      <c r="F478" s="9" t="inlineStr">
        <is>
          <t>no</t>
        </is>
      </c>
      <c r="G478" s="9" t="inlineStr">
        <is>
          <t>low</t>
        </is>
      </c>
      <c r="H478" s="9" t="inlineStr">
        <is>
          <t>no</t>
        </is>
      </c>
    </row>
    <row r="479">
      <c r="A479" s="9" t="n">
        <v>478</v>
      </c>
      <c r="B479" s="58" t="n">
        <v>46276</v>
      </c>
      <c r="C479" s="9" t="n">
        <v>1</v>
      </c>
      <c r="D479" s="9" t="inlineStr">
        <is>
          <t>price_clarity</t>
        </is>
      </c>
      <c r="E479" s="9" t="inlineStr">
        <is>
          <t>hidden_charges</t>
        </is>
      </c>
      <c r="F479" s="9" t="inlineStr">
        <is>
          <t>yes</t>
        </is>
      </c>
      <c r="G479" s="9" t="inlineStr">
        <is>
          <t>high</t>
        </is>
      </c>
      <c r="H479" s="9" t="inlineStr">
        <is>
          <t>no</t>
        </is>
      </c>
    </row>
    <row r="480">
      <c r="A480" s="9" t="n">
        <v>479</v>
      </c>
      <c r="B480" s="58" t="n">
        <v>46276</v>
      </c>
      <c r="C480" s="9" t="n">
        <v>1</v>
      </c>
      <c r="D480" s="9" t="inlineStr">
        <is>
          <t>partner_cancellation</t>
        </is>
      </c>
      <c r="E480" s="9" t="inlineStr">
        <is>
          <t>last_minute_cancel</t>
        </is>
      </c>
      <c r="F480" s="9" t="inlineStr">
        <is>
          <t>yes</t>
        </is>
      </c>
      <c r="G480" s="9" t="inlineStr">
        <is>
          <t>medium</t>
        </is>
      </c>
      <c r="H480" s="9" t="inlineStr">
        <is>
          <t>no</t>
        </is>
      </c>
    </row>
    <row r="481">
      <c r="A481" s="9" t="n">
        <v>480</v>
      </c>
      <c r="B481" s="58" t="n">
        <v>46276</v>
      </c>
      <c r="C481" s="9" t="n">
        <v>1</v>
      </c>
      <c r="D481" s="9" t="inlineStr">
        <is>
          <t>price_clarity</t>
        </is>
      </c>
      <c r="E481" s="9" t="inlineStr">
        <is>
          <t>hidden_charges</t>
        </is>
      </c>
      <c r="F481" s="9" t="inlineStr">
        <is>
          <t>no</t>
        </is>
      </c>
      <c r="G481" s="9" t="inlineStr">
        <is>
          <t>low</t>
        </is>
      </c>
      <c r="H481" s="9" t="inlineStr">
        <is>
          <t>no</t>
        </is>
      </c>
    </row>
    <row r="482">
      <c r="A482" s="9" t="n">
        <v>481</v>
      </c>
      <c r="B482" s="58" t="n">
        <v>46276</v>
      </c>
      <c r="C482" s="9" t="n">
        <v>1</v>
      </c>
      <c r="D482" s="9" t="inlineStr">
        <is>
          <t>other</t>
        </is>
      </c>
      <c r="E482" s="9" t="inlineStr">
        <is>
          <t>unclear</t>
        </is>
      </c>
      <c r="F482" s="9" t="inlineStr">
        <is>
          <t>no</t>
        </is>
      </c>
      <c r="G482" s="9" t="inlineStr">
        <is>
          <t>low</t>
        </is>
      </c>
      <c r="H482" s="9" t="inlineStr">
        <is>
          <t>no</t>
        </is>
      </c>
    </row>
    <row r="483">
      <c r="A483" s="9" t="n">
        <v>482</v>
      </c>
      <c r="B483" s="58" t="n">
        <v>46276</v>
      </c>
      <c r="C483" s="9" t="n">
        <v>1</v>
      </c>
      <c r="D483" s="9" t="inlineStr">
        <is>
          <t>other</t>
        </is>
      </c>
      <c r="E483" s="9" t="inlineStr">
        <is>
          <t>other_issue</t>
        </is>
      </c>
      <c r="F483" s="9" t="inlineStr">
        <is>
          <t>no</t>
        </is>
      </c>
      <c r="G483" s="9" t="inlineStr">
        <is>
          <t>medium</t>
        </is>
      </c>
      <c r="H483" s="9" t="inlineStr">
        <is>
          <t>no</t>
        </is>
      </c>
    </row>
    <row r="484">
      <c r="A484" s="9" t="n">
        <v>483</v>
      </c>
      <c r="B484" s="58" t="n">
        <v>46276</v>
      </c>
      <c r="C484" s="9" t="n">
        <v>1</v>
      </c>
      <c r="D484" s="9" t="inlineStr">
        <is>
          <t>other</t>
        </is>
      </c>
      <c r="E484" s="9" t="inlineStr">
        <is>
          <t>other_issue</t>
        </is>
      </c>
      <c r="F484" s="9" t="inlineStr">
        <is>
          <t>no</t>
        </is>
      </c>
      <c r="G484" s="9" t="inlineStr">
        <is>
          <t>medium</t>
        </is>
      </c>
      <c r="H484" s="9" t="inlineStr">
        <is>
          <t>yes</t>
        </is>
      </c>
    </row>
    <row r="485">
      <c r="A485" s="9" t="n">
        <v>484</v>
      </c>
      <c r="B485" s="58" t="n">
        <v>46276</v>
      </c>
      <c r="C485" s="9" t="n">
        <v>1</v>
      </c>
      <c r="D485" s="9" t="inlineStr">
        <is>
          <t>other</t>
        </is>
      </c>
      <c r="E485" s="9" t="inlineStr">
        <is>
          <t>unclear</t>
        </is>
      </c>
      <c r="F485" s="9" t="inlineStr">
        <is>
          <t>no</t>
        </is>
      </c>
      <c r="G485" s="9" t="inlineStr">
        <is>
          <t>low</t>
        </is>
      </c>
      <c r="H485" s="9" t="inlineStr">
        <is>
          <t>no</t>
        </is>
      </c>
    </row>
    <row r="486">
      <c r="A486" s="9" t="n">
        <v>485</v>
      </c>
      <c r="B486" s="58" t="n">
        <v>46276</v>
      </c>
      <c r="C486" s="9" t="n">
        <v>5</v>
      </c>
      <c r="D486" s="9" t="inlineStr">
        <is>
          <t>praise</t>
        </is>
      </c>
      <c r="E486" s="9" t="inlineStr">
        <is>
          <t>praise_service</t>
        </is>
      </c>
      <c r="F486" s="9" t="inlineStr">
        <is>
          <t>no</t>
        </is>
      </c>
      <c r="G486" s="9" t="inlineStr">
        <is>
          <t>none</t>
        </is>
      </c>
      <c r="H486" s="9" t="inlineStr">
        <is>
          <t>no</t>
        </is>
      </c>
    </row>
    <row r="487">
      <c r="A487" s="9" t="n">
        <v>486</v>
      </c>
      <c r="B487" s="58" t="n">
        <v>46276</v>
      </c>
      <c r="C487" s="9" t="n">
        <v>5</v>
      </c>
      <c r="D487" s="9" t="inlineStr">
        <is>
          <t>praise</t>
        </is>
      </c>
      <c r="E487" s="9" t="inlineStr">
        <is>
          <t>praise_service</t>
        </is>
      </c>
      <c r="F487" s="9" t="inlineStr">
        <is>
          <t>no</t>
        </is>
      </c>
      <c r="G487" s="9" t="inlineStr">
        <is>
          <t>none</t>
        </is>
      </c>
      <c r="H487" s="9" t="inlineStr">
        <is>
          <t>no</t>
        </is>
      </c>
    </row>
    <row r="488">
      <c r="A488" s="9" t="n">
        <v>487</v>
      </c>
      <c r="B488" s="58" t="n">
        <v>46276</v>
      </c>
      <c r="C488" s="9" t="n">
        <v>3</v>
      </c>
      <c r="D488" s="9" t="inlineStr">
        <is>
          <t>other</t>
        </is>
      </c>
      <c r="E488" s="9" t="inlineStr">
        <is>
          <t>other_issue</t>
        </is>
      </c>
      <c r="F488" s="9" t="inlineStr">
        <is>
          <t>no</t>
        </is>
      </c>
      <c r="G488" s="9" t="inlineStr">
        <is>
          <t>low</t>
        </is>
      </c>
      <c r="H488" s="9" t="inlineStr">
        <is>
          <t>no</t>
        </is>
      </c>
    </row>
    <row r="489">
      <c r="A489" s="9" t="n">
        <v>488</v>
      </c>
      <c r="B489" s="58" t="n">
        <v>46276</v>
      </c>
      <c r="C489" s="9" t="n">
        <v>1</v>
      </c>
      <c r="D489" s="9" t="inlineStr">
        <is>
          <t>partner_cancellation</t>
        </is>
      </c>
      <c r="E489" s="9" t="inlineStr">
        <is>
          <t>last_minute_cancel</t>
        </is>
      </c>
      <c r="F489" s="9" t="inlineStr">
        <is>
          <t>no</t>
        </is>
      </c>
      <c r="G489" s="9" t="inlineStr">
        <is>
          <t>medium</t>
        </is>
      </c>
      <c r="H489" s="9" t="inlineStr">
        <is>
          <t>no</t>
        </is>
      </c>
    </row>
    <row r="490">
      <c r="A490" s="9" t="n">
        <v>489</v>
      </c>
      <c r="B490" s="58" t="n">
        <v>46276</v>
      </c>
      <c r="C490" s="9" t="n">
        <v>4</v>
      </c>
      <c r="D490" s="9" t="inlineStr">
        <is>
          <t>praise</t>
        </is>
      </c>
      <c r="E490" s="9" t="inlineStr">
        <is>
          <t>praise_professional</t>
        </is>
      </c>
      <c r="F490" s="9" t="inlineStr">
        <is>
          <t>no</t>
        </is>
      </c>
      <c r="G490" s="9" t="inlineStr">
        <is>
          <t>none</t>
        </is>
      </c>
      <c r="H490" s="9" t="inlineStr">
        <is>
          <t>no</t>
        </is>
      </c>
    </row>
    <row r="491">
      <c r="A491" s="9" t="n">
        <v>490</v>
      </c>
      <c r="B491" s="58" t="n">
        <v>46276</v>
      </c>
      <c r="C491" s="9" t="n">
        <v>1</v>
      </c>
      <c r="D491" s="9" t="inlineStr">
        <is>
          <t>app</t>
        </is>
      </c>
      <c r="E491" s="9" t="inlineStr">
        <is>
          <t>booking_or_checkout_bug</t>
        </is>
      </c>
      <c r="F491" s="9" t="inlineStr">
        <is>
          <t>no</t>
        </is>
      </c>
      <c r="G491" s="9" t="inlineStr">
        <is>
          <t>low</t>
        </is>
      </c>
      <c r="H491" s="9" t="inlineStr">
        <is>
          <t>no</t>
        </is>
      </c>
    </row>
    <row r="492">
      <c r="A492" s="9" t="n">
        <v>491</v>
      </c>
      <c r="B492" s="58" t="n">
        <v>46276</v>
      </c>
      <c r="C492" s="9" t="n">
        <v>3</v>
      </c>
      <c r="D492" s="9" t="inlineStr">
        <is>
          <t>partner_cancellation</t>
        </is>
      </c>
      <c r="E492" s="9" t="inlineStr">
        <is>
          <t>no_show</t>
        </is>
      </c>
      <c r="F492" s="9" t="inlineStr">
        <is>
          <t>no</t>
        </is>
      </c>
      <c r="G492" s="9" t="inlineStr">
        <is>
          <t>medium</t>
        </is>
      </c>
      <c r="H492" s="9" t="inlineStr">
        <is>
          <t>no</t>
        </is>
      </c>
    </row>
    <row r="493">
      <c r="A493" s="9" t="n">
        <v>492</v>
      </c>
      <c r="B493" s="58" t="n">
        <v>46276</v>
      </c>
      <c r="C493" s="9" t="n">
        <v>2</v>
      </c>
      <c r="D493" s="9" t="inlineStr">
        <is>
          <t>service_quality</t>
        </is>
      </c>
      <c r="E493" s="9" t="inlineStr">
        <is>
          <t>rude_behaviour</t>
        </is>
      </c>
      <c r="F493" s="9" t="inlineStr">
        <is>
          <t>no</t>
        </is>
      </c>
      <c r="G493" s="9" t="inlineStr">
        <is>
          <t>high</t>
        </is>
      </c>
      <c r="H493" s="9" t="inlineStr">
        <is>
          <t>no</t>
        </is>
      </c>
    </row>
    <row r="494">
      <c r="A494" s="9" t="n">
        <v>493</v>
      </c>
      <c r="B494" s="58" t="n">
        <v>46276</v>
      </c>
      <c r="C494" s="9" t="n">
        <v>1</v>
      </c>
      <c r="D494" s="9" t="inlineStr">
        <is>
          <t>partner_cancellation</t>
        </is>
      </c>
      <c r="E494" s="9" t="inlineStr">
        <is>
          <t>no_show</t>
        </is>
      </c>
      <c r="F494" s="9" t="inlineStr">
        <is>
          <t>yes</t>
        </is>
      </c>
      <c r="G494" s="9" t="inlineStr">
        <is>
          <t>medium</t>
        </is>
      </c>
      <c r="H494" s="9" t="inlineStr">
        <is>
          <t>no</t>
        </is>
      </c>
    </row>
    <row r="495">
      <c r="A495" s="9" t="n">
        <v>494</v>
      </c>
      <c r="B495" s="58" t="n">
        <v>46275</v>
      </c>
      <c r="C495" s="9" t="n">
        <v>1</v>
      </c>
      <c r="D495" s="9" t="inlineStr">
        <is>
          <t>other</t>
        </is>
      </c>
      <c r="E495" s="9" t="inlineStr">
        <is>
          <t>unclear</t>
        </is>
      </c>
      <c r="F495" s="9" t="inlineStr">
        <is>
          <t>no</t>
        </is>
      </c>
      <c r="G495" s="9" t="inlineStr">
        <is>
          <t>low</t>
        </is>
      </c>
      <c r="H495" s="9" t="inlineStr">
        <is>
          <t>no</t>
        </is>
      </c>
    </row>
    <row r="496">
      <c r="A496" s="9" t="n">
        <v>495</v>
      </c>
      <c r="B496" s="58" t="n">
        <v>46275</v>
      </c>
      <c r="C496" s="9" t="n">
        <v>1</v>
      </c>
      <c r="D496" s="9" t="inlineStr">
        <is>
          <t>other</t>
        </is>
      </c>
      <c r="E496" s="9" t="inlineStr">
        <is>
          <t>other_issue</t>
        </is>
      </c>
      <c r="F496" s="9" t="inlineStr">
        <is>
          <t>no</t>
        </is>
      </c>
      <c r="G496" s="9" t="inlineStr">
        <is>
          <t>medium</t>
        </is>
      </c>
      <c r="H496" s="9" t="inlineStr">
        <is>
          <t>no</t>
        </is>
      </c>
    </row>
    <row r="497">
      <c r="A497" s="9" t="n">
        <v>496</v>
      </c>
      <c r="B497" s="58" t="n">
        <v>46275</v>
      </c>
      <c r="C497" s="9" t="n">
        <v>5</v>
      </c>
      <c r="D497" s="9" t="inlineStr">
        <is>
          <t>praise</t>
        </is>
      </c>
      <c r="E497" s="9" t="inlineStr">
        <is>
          <t>praise_professional</t>
        </is>
      </c>
      <c r="F497" s="9" t="inlineStr">
        <is>
          <t>no</t>
        </is>
      </c>
      <c r="G497" s="9" t="inlineStr">
        <is>
          <t>none</t>
        </is>
      </c>
      <c r="H497" s="9" t="inlineStr">
        <is>
          <t>no</t>
        </is>
      </c>
    </row>
    <row r="498">
      <c r="A498" s="9" t="n">
        <v>497</v>
      </c>
      <c r="B498" s="58" t="n">
        <v>46275</v>
      </c>
      <c r="C498" s="9" t="n">
        <v>5</v>
      </c>
      <c r="D498" s="9" t="inlineStr">
        <is>
          <t>praise</t>
        </is>
      </c>
      <c r="E498" s="9" t="inlineStr">
        <is>
          <t>praise_service</t>
        </is>
      </c>
      <c r="F498" s="9" t="inlineStr">
        <is>
          <t>no</t>
        </is>
      </c>
      <c r="G498" s="9" t="inlineStr">
        <is>
          <t>none</t>
        </is>
      </c>
      <c r="H498" s="9" t="inlineStr">
        <is>
          <t>no</t>
        </is>
      </c>
    </row>
    <row r="499">
      <c r="A499" s="9" t="n">
        <v>498</v>
      </c>
      <c r="B499" s="58" t="n">
        <v>46275</v>
      </c>
      <c r="C499" s="9" t="n">
        <v>3</v>
      </c>
      <c r="D499" s="9" t="inlineStr">
        <is>
          <t>praise</t>
        </is>
      </c>
      <c r="E499" s="9" t="inlineStr">
        <is>
          <t>praise_professional</t>
        </is>
      </c>
      <c r="F499" s="9" t="inlineStr">
        <is>
          <t>no</t>
        </is>
      </c>
      <c r="G499" s="9" t="inlineStr">
        <is>
          <t>none</t>
        </is>
      </c>
      <c r="H499" s="9" t="inlineStr">
        <is>
          <t>no</t>
        </is>
      </c>
    </row>
    <row r="500">
      <c r="A500" s="9" t="n">
        <v>499</v>
      </c>
      <c r="B500" s="58" t="n">
        <v>46275</v>
      </c>
      <c r="C500" s="9" t="n">
        <v>1</v>
      </c>
      <c r="D500" s="9" t="inlineStr">
        <is>
          <t>other</t>
        </is>
      </c>
      <c r="E500" s="9" t="inlineStr">
        <is>
          <t>other_issue</t>
        </is>
      </c>
      <c r="F500" s="9" t="inlineStr">
        <is>
          <t>no</t>
        </is>
      </c>
      <c r="G500" s="9" t="inlineStr">
        <is>
          <t>medium</t>
        </is>
      </c>
      <c r="H500" s="9" t="inlineStr">
        <is>
          <t>no</t>
        </is>
      </c>
    </row>
    <row r="501">
      <c r="A501" s="9" t="n">
        <v>500</v>
      </c>
      <c r="B501" s="58" t="n">
        <v>46275</v>
      </c>
      <c r="C501" s="9" t="n">
        <v>1</v>
      </c>
      <c r="D501" s="9" t="inlineStr">
        <is>
          <t>other</t>
        </is>
      </c>
      <c r="E501" s="9" t="inlineStr">
        <is>
          <t>other_issue</t>
        </is>
      </c>
      <c r="F501" s="9" t="inlineStr">
        <is>
          <t>no</t>
        </is>
      </c>
      <c r="G501" s="9" t="inlineStr">
        <is>
          <t>medium</t>
        </is>
      </c>
      <c r="H501" s="9" t="inlineStr">
        <is>
          <t>yes</t>
        </is>
      </c>
    </row>
    <row r="503">
      <c r="A503" s="12" t="inlineStr">
        <is>
          <t>Urban Company review text is not included: only the tags, for the benchmark.</t>
        </is>
      </c>
    </row>
  </sheetData>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2:A11"/>
  <sheetViews>
    <sheetView showGridLines="1" workbookViewId="0">
      <selection activeCell="A1" sqref="A1"/>
    </sheetView>
  </sheetViews>
  <sheetFormatPr baseColWidth="8" defaultRowHeight="15"/>
  <sheetData>
    <row r="2">
      <c r="A2" t="inlineStr">
        <is>
          <t>partner_cancellation</t>
        </is>
      </c>
    </row>
    <row r="3">
      <c r="A3" t="inlineStr">
        <is>
          <t>price_clarity</t>
        </is>
      </c>
    </row>
    <row r="4">
      <c r="A4" t="inlineStr">
        <is>
          <t>service_quality</t>
        </is>
      </c>
    </row>
    <row r="5">
      <c r="A5" t="inlineStr">
        <is>
          <t>product_fit</t>
        </is>
      </c>
    </row>
    <row r="6">
      <c r="A6" t="inlineStr">
        <is>
          <t>app</t>
        </is>
      </c>
    </row>
    <row r="7">
      <c r="A7" t="inlineStr">
        <is>
          <t>payment_refund</t>
        </is>
      </c>
    </row>
    <row r="8">
      <c r="A8" t="inlineStr">
        <is>
          <t>support</t>
        </is>
      </c>
    </row>
    <row r="9">
      <c r="A9" t="inlineStr">
        <is>
          <t>delay</t>
        </is>
      </c>
    </row>
    <row r="10">
      <c r="A10" t="inlineStr">
        <is>
          <t>other</t>
        </is>
      </c>
    </row>
    <row r="11">
      <c r="A11" t="inlineStr">
        <is>
          <t>praise</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2026-10-23T03:32:27Z</dcterms:created>
  <dcterms:modified xmlns:dcterms="http://purl.org/dc/terms/" xmlns:xsi="http://www.w3.org/2001/XMLSchema-instance" xsi:type="dcterms:W3CDTF">2026-10-23T03:32:28Z</dcterms:modified>
</cp:coreProperties>
</file>