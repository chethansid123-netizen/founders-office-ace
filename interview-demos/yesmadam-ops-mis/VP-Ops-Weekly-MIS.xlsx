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Weekly MIS" sheetId="2" state="visible" r:id="rId2"/>
    <sheet xmlns:r="http://schemas.openxmlformats.org/officeDocument/2006/relationships" name="North Star" sheetId="3" state="visible" r:id="rId3"/>
    <sheet xmlns:r="http://schemas.openxmlformats.org/officeDocument/2006/relationships" name="Monthly" sheetId="4" state="visible" r:id="rId4"/>
    <sheet xmlns:r="http://schemas.openxmlformats.org/officeDocument/2006/relationships" name="City View" sheetId="5" state="visible" r:id="rId5"/>
    <sheet xmlns:r="http://schemas.openxmlformats.org/officeDocument/2006/relationships" name="Supply" sheetId="6" state="visible" r:id="rId6"/>
    <sheet xmlns:r="http://schemas.openxmlformats.org/officeDocument/2006/relationships" name="Quality &amp; Kits" sheetId="7" state="visible" r:id="rId7"/>
    <sheet xmlns:r="http://schemas.openxmlformats.org/officeDocument/2006/relationships" name="Action Tracker" sheetId="8" state="visible" r:id="rId8"/>
    <sheet xmlns:r="http://schemas.openxmlformats.org/officeDocument/2006/relationships" name="Data Checks" sheetId="9" state="visible" r:id="rId9"/>
    <sheet xmlns:r="http://schemas.openxmlformats.org/officeDocument/2006/relationships" name="Targets" sheetId="10" state="visible" r:id="rId10"/>
    <sheet xmlns:r="http://schemas.openxmlformats.org/officeDocument/2006/relationships" name="Metric Dictionary" sheetId="11" state="visible" r:id="rId11"/>
    <sheet xmlns:r="http://schemas.openxmlformats.org/officeDocument/2006/relationships" name="JD Map" sheetId="12" state="visible" r:id="rId12"/>
    <sheet xmlns:r="http://schemas.openxmlformats.org/officeDocument/2006/relationships" name="Data" sheetId="13" state="visible" r:id="rId13"/>
    <sheet xmlns:r="http://schemas.openxmlformats.org/officeDocument/2006/relationships" name="Raw Bookings" sheetId="14" state="visible" r:id="rId14"/>
    <sheet xmlns:r="http://schemas.openxmlformats.org/officeDocument/2006/relationships" name="Lists" sheetId="15" state="hidden" r:id="rId15"/>
  </sheets>
  <definedNames>
    <definedName name="d_week">Data!$A$2:$A$97</definedName>
    <definedName name="d_start">Data!$B$2:$B$97</definedName>
    <definedName name="d_month">Data!$C$2:$C$97</definedName>
    <definedName name="d_city">Data!$D$2:$D$97</definedName>
    <definedName name="d_req">Data!$E$2:$E$97</definedName>
    <definedName name="d_asg">Data!$F$2:$F$97</definedName>
    <definedName name="d_cc">Data!$G$2:$G$97</definedName>
    <definedName name="d_pc">Data!$H$2:$H$97</definedName>
    <definedName name="d_comp">Data!$I$2:$I$97</definedName>
    <definedName name="d_ot">Data!$J$2:$J$97</definedName>
    <definedName name="d_perf">Data!$K$2:$K$97</definedName>
    <definedName name="d_cpl">Data!$L$2:$L$97</definedName>
    <definedName name="d_redo">Data!$M$2:$M$97</definedName>
    <definedName name="d_rc">Data!$N$2:$N$97</definedName>
    <definedName name="d_rs">Data!$O$2:$O$97</definedName>
    <definedName name="d_low">Data!$P$2:$P$97</definedName>
    <definedName name="d_act">Data!$Q$2:$Q$97</definedName>
    <definedName name="d_cert">Data!$R$2:$R$97</definedName>
    <definedName name="d_stock">Data!$S$2:$S$97</definedName>
    <definedName name="d_coh">Data!$T$2:$T$97</definedName>
    <definedName name="d_coha">Data!$U$2:$U$97</definedName>
    <definedName name="d_gmv">Data!$V$2:$V$97</definedName>
    <definedName name="amber_band">Targets!$C$4</definedName>
    <definedName name="t_nsm">Targets!$F$7</definedName>
    <definedName name="t_fill">Targets!$F$9</definedName>
    <definedName name="t_ot">Targets!$F$11</definedName>
    <definedName name="t_cc">Targets!$F$12</definedName>
    <definedName name="t_pc">Targets!$F$13</definedName>
    <definedName name="t_act">Targets!$F$14</definedName>
    <definedName name="t_cert">Targets!$F$15</definedName>
    <definedName name="t_ret">Targets!$F$16</definedName>
    <definedName name="t_jppd">Targets!$F$17</definedName>
    <definedName name="t_rating">Targets!$F$18</definedName>
    <definedName name="t_cpk">Targets!$F$19</definedName>
    <definedName name="t_redo">Targets!$F$20</definedName>
    <definedName name="t_kit">Targets!$F$21</definedName>
    <definedName name="tg_key">Targets!$B$7:$B$21</definedName>
    <definedName name="tg_metric">Targets!$C$7:$C$21</definedName>
    <definedName name="tg_dir">Targets!$E$7:$E$21</definedName>
    <definedName name="tg_target">Targets!$F$7:$F$21</definedName>
    <definedName name="tg_owner">Targets!$G$7:$G$21</definedName>
    <definedName name="tg_good">Targets!$H$7:$H$21</definedName>
    <definedName name="tg_nat">Targets!$I$7:$I$21</definedName>
    <definedName name="sel_week">'Weekly MIS'!$C$4</definedName>
    <definedName name="sel_scope">'Weekly MIS'!$C$5</definedName>
    <definedName name="tw_req">'Weekly MIS'!$N$9</definedName>
    <definedName name="lw_req">'Weekly MIS'!$O$9</definedName>
    <definedName name="l4_req">'Weekly MIS'!$P$9</definedName>
    <definedName name="tw_asg">'Weekly MIS'!$N$10</definedName>
    <definedName name="lw_asg">'Weekly MIS'!$O$10</definedName>
    <definedName name="l4_asg">'Weekly MIS'!$P$10</definedName>
    <definedName name="tw_cc">'Weekly MIS'!$N$11</definedName>
    <definedName name="lw_cc">'Weekly MIS'!$O$11</definedName>
    <definedName name="l4_cc">'Weekly MIS'!$P$11</definedName>
    <definedName name="tw_pc">'Weekly MIS'!$N$12</definedName>
    <definedName name="lw_pc">'Weekly MIS'!$O$12</definedName>
    <definedName name="l4_pc">'Weekly MIS'!$P$12</definedName>
    <definedName name="tw_comp">'Weekly MIS'!$N$13</definedName>
    <definedName name="lw_comp">'Weekly MIS'!$O$13</definedName>
    <definedName name="l4_comp">'Weekly MIS'!$P$13</definedName>
    <definedName name="tw_ot">'Weekly MIS'!$N$14</definedName>
    <definedName name="lw_ot">'Weekly MIS'!$O$14</definedName>
    <definedName name="l4_ot">'Weekly MIS'!$P$14</definedName>
    <definedName name="tw_perf">'Weekly MIS'!$N$15</definedName>
    <definedName name="lw_perf">'Weekly MIS'!$O$15</definedName>
    <definedName name="l4_perf">'Weekly MIS'!$P$15</definedName>
    <definedName name="tw_cpl">'Weekly MIS'!$N$16</definedName>
    <definedName name="lw_cpl">'Weekly MIS'!$O$16</definedName>
    <definedName name="l4_cpl">'Weekly MIS'!$P$16</definedName>
    <definedName name="tw_redo">'Weekly MIS'!$N$17</definedName>
    <definedName name="lw_redo">'Weekly MIS'!$O$17</definedName>
    <definedName name="l4_redo">'Weekly MIS'!$P$17</definedName>
    <definedName name="tw_rc">'Weekly MIS'!$N$18</definedName>
    <definedName name="lw_rc">'Weekly MIS'!$O$18</definedName>
    <definedName name="l4_rc">'Weekly MIS'!$P$18</definedName>
    <definedName name="tw_rs">'Weekly MIS'!$N$19</definedName>
    <definedName name="lw_rs">'Weekly MIS'!$O$19</definedName>
    <definedName name="l4_rs">'Weekly MIS'!$P$19</definedName>
    <definedName name="tw_low">'Weekly MIS'!$N$20</definedName>
    <definedName name="lw_low">'Weekly MIS'!$O$20</definedName>
    <definedName name="l4_low">'Weekly MIS'!$P$20</definedName>
    <definedName name="tw_act">'Weekly MIS'!$N$21</definedName>
    <definedName name="lw_act">'Weekly MIS'!$O$21</definedName>
    <definedName name="l4_act">'Weekly MIS'!$P$21</definedName>
    <definedName name="tw_cert">'Weekly MIS'!$N$22</definedName>
    <definedName name="lw_cert">'Weekly MIS'!$O$22</definedName>
    <definedName name="l4_cert">'Weekly MIS'!$P$22</definedName>
    <definedName name="tw_stock">'Weekly MIS'!$N$23</definedName>
    <definedName name="lw_stock">'Weekly MIS'!$O$23</definedName>
    <definedName name="l4_stock">'Weekly MIS'!$P$23</definedName>
    <definedName name="tw_coh">'Weekly MIS'!$N$24</definedName>
    <definedName name="lw_coh">'Weekly MIS'!$O$24</definedName>
    <definedName name="l4_coh">'Weekly MIS'!$P$24</definedName>
    <definedName name="tw_coha">'Weekly MIS'!$N$25</definedName>
    <definedName name="lw_coha">'Weekly MIS'!$O$25</definedName>
    <definedName name="l4_coha">'Weekly MIS'!$P$25</definedName>
    <definedName name="tw_gmv">'Weekly MIS'!$N$26</definedName>
    <definedName name="lw_gmv">'Weekly MIS'!$O$26</definedName>
    <definedName name="l4_gmv">'Weekly MIS'!$P$26</definedName>
    <definedName name="trap_simple">'City View'!$F$39</definedName>
    <definedName name="trap_right">'City View'!$F$40</definedName>
    <definedName name="report_date">'Action Tracker'!$C$3</definedName>
    <definedName name="raw_id">'Raw Bookings'!$A$2:$A$301</definedName>
    <definedName name="raw_total">'Raw Bookings'!$O$11</definedName>
    <definedName name="_xlnm._FilterDatabase" localSheetId="12" hidden="1">'Data'!$A$1:$V$97</definedName>
    <definedName name="_xlnm._FilterDatabase" localSheetId="13" hidden="1">'Raw Bookings'!$A$1:$L$301</definedName>
  </definedNames>
  <calcPr calcId="124519" fullCalcOnLoad="1"/>
</workbook>
</file>

<file path=xl/styles.xml><?xml version="1.0" encoding="utf-8"?>
<styleSheet xmlns="http://schemas.openxmlformats.org/spreadsheetml/2006/main">
  <numFmts count="15">
    <numFmt numFmtId="164" formatCode="yyyy-mm-dd h:mm:ss"/>
    <numFmt numFmtId="165" formatCode="d mmm yyyy"/>
    <numFmt numFmtId="166" formatCode="0.0%"/>
    <numFmt numFmtId="167" formatCode="0.0"/>
    <numFmt numFmtId="168" formatCode="&quot;W&quot;0"/>
    <numFmt numFmtId="169" formatCode="+0.0&quot; pts&quot;;-0.0&quot; pts&quot;;0.0&quot; pts&quot;"/>
    <numFmt numFmtId="170" formatCode="+0.0%;-0.0%;0.0%"/>
    <numFmt numFmtId="171" formatCode="+0.00;-0.00;0.00"/>
    <numFmt numFmtId="172" formatCode="+0.0;-0.0;0.0"/>
    <numFmt numFmtId="173" formatCode="+#,##0;-#,##0;0"/>
    <numFmt numFmtId="174" formatCode="+#,##0.0;-#,##0.0;0.0"/>
    <numFmt numFmtId="175" formatCode="&quot;₹&quot;#,##0.0&quot; L&quot;"/>
    <numFmt numFmtId="176" formatCode="0.0&quot; pts&quot;"/>
    <numFmt numFmtId="177" formatCode="d mmm"/>
    <numFmt numFmtId="178" formatCode="#,##0;-#,##0;&quot;–&quot;"/>
  </numFmts>
  <fonts count="24">
    <font>
      <name val="Calibri"/>
      <family val="2"/>
      <color theme="1"/>
      <sz val="11"/>
      <scheme val="minor"/>
    </font>
    <font>
      <name val="Arial"/>
      <b val="1"/>
      <color rgb="00FFFFFF"/>
      <sz val="10"/>
    </font>
    <font>
      <name val="Arial"/>
      <sz val="10"/>
    </font>
    <font>
      <name val="Arial"/>
      <i val="1"/>
      <color rgb="006B7280"/>
      <sz val="10"/>
    </font>
    <font>
      <name val="Arial"/>
      <b val="1"/>
      <color rgb="001F2937"/>
      <sz val="16"/>
    </font>
    <font>
      <name val="Arial"/>
      <b val="1"/>
      <sz val="10"/>
    </font>
    <font>
      <name val="Arial"/>
      <b val="1"/>
      <color rgb="000000FF"/>
      <sz val="10"/>
    </font>
    <font>
      <name val="Arial"/>
      <color rgb="006B7280"/>
      <sz val="10"/>
    </font>
    <font>
      <name val="Arial"/>
      <b val="1"/>
      <color rgb="006B7280"/>
      <sz val="10"/>
    </font>
    <font>
      <name val="Arial"/>
      <b val="1"/>
      <color rgb="0052514E"/>
      <sz val="10"/>
    </font>
    <font>
      <name val="Arial"/>
      <color rgb="00FFFFFF"/>
      <sz val="8"/>
    </font>
    <font>
      <name val="Arial"/>
      <color rgb="00008000"/>
      <sz val="10"/>
    </font>
    <font>
      <name val="Arial"/>
      <b val="1"/>
      <sz val="12"/>
    </font>
    <font>
      <name val="Arial"/>
      <b val="1"/>
      <color rgb="001F2937"/>
      <sz val="10"/>
    </font>
    <font>
      <name val="Arial"/>
      <b val="1"/>
      <color rgb="00B02A2A"/>
      <sz val="10"/>
    </font>
    <font>
      <name val="Arial"/>
      <b val="1"/>
      <color rgb="00006100"/>
      <sz val="10"/>
    </font>
    <font>
      <name val="Arial"/>
      <color rgb="000000FF"/>
      <sz val="10"/>
    </font>
    <font>
      <name val="Arial"/>
      <b val="1"/>
      <color rgb="002A78D6"/>
      <sz val="10"/>
    </font>
    <font>
      <name val="Arial"/>
      <b val="1"/>
      <color rgb="001F2937"/>
      <sz val="22"/>
    </font>
    <font>
      <name val="Arial"/>
      <color rgb="006B7280"/>
      <sz val="12"/>
    </font>
    <font>
      <name val="Arial"/>
      <b val="1"/>
      <color rgb="007A5000"/>
      <sz val="10"/>
    </font>
    <font>
      <name val="Arial"/>
      <b val="1"/>
      <color rgb="002A78D6"/>
      <sz val="26"/>
    </font>
    <font>
      <name val="Arial"/>
      <color rgb="001F2937"/>
      <sz val="11"/>
    </font>
    <font>
      <name val="Arial"/>
      <color rgb="002A78D6"/>
      <sz val="10"/>
      <u val="single"/>
    </font>
  </fonts>
  <fills count="10">
    <fill>
      <patternFill/>
    </fill>
    <fill>
      <patternFill patternType="gray125"/>
    </fill>
    <fill>
      <patternFill patternType="solid">
        <fgColor rgb="001F2937"/>
      </patternFill>
    </fill>
    <fill>
      <patternFill patternType="solid">
        <fgColor rgb="00FFF2CC"/>
      </patternFill>
    </fill>
    <fill>
      <patternFill patternType="solid">
        <fgColor rgb="00EEF0F3"/>
      </patternFill>
    </fill>
    <fill>
      <patternFill patternType="solid">
        <fgColor rgb="00F7F7F4"/>
      </patternFill>
    </fill>
    <fill>
      <patternFill patternType="solid">
        <fgColor rgb="00FFE9B3"/>
      </patternFill>
    </fill>
    <fill>
      <patternFill patternType="solid">
        <fgColor rgb="00D9F2DC"/>
      </patternFill>
    </fill>
    <fill>
      <patternFill patternType="solid">
        <fgColor rgb="00F8D3D3"/>
      </patternFill>
    </fill>
    <fill>
      <patternFill patternType="solid">
        <fgColor rgb="00E7E7E4"/>
      </patternFill>
    </fill>
  </fills>
  <borders count="2">
    <border>
      <left/>
      <right/>
      <top/>
      <bottom/>
      <diagonal/>
    </border>
    <border>
      <bottom style="thin">
        <color rgb="00D9D9D6"/>
      </bottom>
    </border>
  </borders>
  <cellStyleXfs count="1">
    <xf numFmtId="0" fontId="0" fillId="0" borderId="0"/>
  </cellStyleXfs>
  <cellXfs count="119">
    <xf numFmtId="0" fontId="0" fillId="0" borderId="0" pivotButton="0" quotePrefix="0" xfId="0"/>
    <xf numFmtId="0" fontId="18" fillId="0" borderId="0" pivotButton="0" quotePrefix="0" xfId="0"/>
    <xf numFmtId="0" fontId="19" fillId="0" borderId="0" pivotButton="0" quotePrefix="0" xfId="0"/>
    <xf numFmtId="0" fontId="20" fillId="6" borderId="0" pivotButton="0" quotePrefix="0" xfId="0"/>
    <xf numFmtId="0" fontId="0" fillId="6" borderId="0" pivotButton="0" quotePrefix="0" xfId="0"/>
    <xf numFmtId="0" fontId="8" fillId="0" borderId="0" pivotButton="0" quotePrefix="0" xfId="0"/>
    <xf numFmtId="3" fontId="21" fillId="0" borderId="0" pivotButton="0" quotePrefix="0" xfId="0"/>
    <xf numFmtId="0" fontId="22" fillId="0" borderId="0" pivotButton="0" quotePrefix="0" xfId="0"/>
    <xf numFmtId="0" fontId="12" fillId="0" borderId="0" pivotButton="0" quotePrefix="0" xfId="0"/>
    <xf numFmtId="0" fontId="2" fillId="0" borderId="0" pivotButton="0" quotePrefix="0" xfId="0"/>
    <xf numFmtId="0" fontId="23" fillId="0" borderId="0" pivotButton="0" quotePrefix="0" xfId="0"/>
    <xf numFmtId="0" fontId="7" fillId="0" borderId="0" pivotButton="0" quotePrefix="0" xfId="0"/>
    <xf numFmtId="0" fontId="6" fillId="3" borderId="0" pivotButton="0" quotePrefix="0" xfId="0"/>
    <xf numFmtId="0" fontId="11" fillId="0" borderId="0" pivotButton="0" quotePrefix="0" xfId="0"/>
    <xf numFmtId="0" fontId="16" fillId="0" borderId="0" pivotButton="0" quotePrefix="0" xfId="0"/>
    <xf numFmtId="0" fontId="5" fillId="7" borderId="0" applyAlignment="1" pivotButton="0" quotePrefix="0" xfId="0">
      <alignment horizontal="center" vertical="center"/>
    </xf>
    <xf numFmtId="0" fontId="5" fillId="6" borderId="0" applyAlignment="1" pivotButton="0" quotePrefix="0" xfId="0">
      <alignment horizontal="center" vertical="center"/>
    </xf>
    <xf numFmtId="0" fontId="5" fillId="8" borderId="0" applyAlignment="1" pivotButton="0" quotePrefix="0" xfId="0">
      <alignment horizontal="center" vertical="center"/>
    </xf>
    <xf numFmtId="0" fontId="5" fillId="9" borderId="0" applyAlignment="1" pivotButton="0" quotePrefix="0" xfId="0">
      <alignment horizontal="center" vertical="center"/>
    </xf>
    <xf numFmtId="0" fontId="3" fillId="0" borderId="0" pivotButton="0" quotePrefix="0" xfId="0"/>
    <xf numFmtId="0" fontId="4" fillId="0" borderId="0" pivotButton="0" quotePrefix="0" xfId="0"/>
    <xf numFmtId="0" fontId="5" fillId="0" borderId="0" pivotButton="0" quotePrefix="0" xfId="0"/>
    <xf numFmtId="168" fontId="6" fillId="3" borderId="0" applyAlignment="1" applyProtection="1" pivotButton="0" quotePrefix="0" xfId="0">
      <alignment horizontal="center" vertical="center"/>
      <protection locked="0" hidden="0"/>
    </xf>
    <xf numFmtId="0" fontId="6" fillId="3" borderId="0" applyAlignment="1" applyProtection="1" pivotButton="0" quotePrefix="0" xfId="0">
      <alignment horizontal="center" vertical="center"/>
      <protection locked="0" hidden="0"/>
    </xf>
    <xf numFmtId="168" fontId="2" fillId="0" borderId="0" applyAlignment="1" pivotButton="0" quotePrefix="0" xfId="0">
      <alignment horizontal="center" vertical="center"/>
    </xf>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9" fillId="4" borderId="0" pivotButton="0" quotePrefix="0" xfId="0"/>
    <xf numFmtId="0" fontId="0" fillId="4" borderId="0" pivotButton="0" quotePrefix="0" xfId="0"/>
    <xf numFmtId="0" fontId="7" fillId="0" borderId="1" pivotButton="0" quotePrefix="0" xfId="0"/>
    <xf numFmtId="3" fontId="7" fillId="0" borderId="1" pivotButton="0" quotePrefix="0" xfId="0"/>
    <xf numFmtId="0" fontId="10" fillId="0" borderId="0" pivotButton="0" quotePrefix="0" xfId="0"/>
    <xf numFmtId="0" fontId="5" fillId="0" borderId="1" pivotButton="0" quotePrefix="0" xfId="0"/>
    <xf numFmtId="166" fontId="5" fillId="0" borderId="1" pivotButton="0" quotePrefix="0" xfId="0"/>
    <xf numFmtId="166" fontId="2" fillId="0" borderId="1" pivotButton="0" quotePrefix="0" xfId="0"/>
    <xf numFmtId="169" fontId="2" fillId="0" borderId="1" pivotButton="0" quotePrefix="0" xfId="0"/>
    <xf numFmtId="166" fontId="11" fillId="0" borderId="1" applyAlignment="1" pivotButton="0" quotePrefix="0" xfId="0">
      <alignment horizontal="right"/>
    </xf>
    <xf numFmtId="0" fontId="5" fillId="0" borderId="1" applyAlignment="1" pivotButton="0" quotePrefix="0" xfId="0">
      <alignment horizontal="center" vertical="center"/>
    </xf>
    <xf numFmtId="0" fontId="11" fillId="0" borderId="1" pivotButton="0" quotePrefix="0" xfId="0"/>
    <xf numFmtId="0" fontId="2" fillId="0" borderId="1" pivotButton="0" quotePrefix="0" xfId="0"/>
    <xf numFmtId="3" fontId="5" fillId="0" borderId="1" pivotButton="0" quotePrefix="0" xfId="0"/>
    <xf numFmtId="3" fontId="2" fillId="0" borderId="1" pivotButton="0" quotePrefix="0" xfId="0"/>
    <xf numFmtId="170" fontId="2" fillId="0" borderId="1" pivotButton="0" quotePrefix="0" xfId="0"/>
    <xf numFmtId="3" fontId="11" fillId="0" borderId="1" applyAlignment="1" pivotButton="0" quotePrefix="0" xfId="0">
      <alignment horizontal="right"/>
    </xf>
    <xf numFmtId="9" fontId="5" fillId="0" borderId="1" pivotButton="0" quotePrefix="0" xfId="0"/>
    <xf numFmtId="9" fontId="2" fillId="0" borderId="1" pivotButton="0" quotePrefix="0" xfId="0"/>
    <xf numFmtId="9" fontId="11" fillId="0" borderId="1" applyAlignment="1" pivotButton="0" quotePrefix="0" xfId="0">
      <alignment horizontal="right"/>
    </xf>
    <xf numFmtId="2" fontId="5" fillId="0" borderId="1" pivotButton="0" quotePrefix="0" xfId="0"/>
    <xf numFmtId="2" fontId="2" fillId="0" borderId="1" pivotButton="0" quotePrefix="0" xfId="0"/>
    <xf numFmtId="171" fontId="2" fillId="0" borderId="1" pivotButton="0" quotePrefix="0" xfId="0"/>
    <xf numFmtId="2" fontId="11" fillId="0" borderId="1" applyAlignment="1" pivotButton="0" quotePrefix="0" xfId="0">
      <alignment horizontal="right"/>
    </xf>
    <xf numFmtId="167" fontId="5" fillId="0" borderId="1" pivotButton="0" quotePrefix="0" xfId="0"/>
    <xf numFmtId="167" fontId="2" fillId="0" borderId="1" pivotButton="0" quotePrefix="0" xfId="0"/>
    <xf numFmtId="172" fontId="2" fillId="0" borderId="1" pivotButton="0" quotePrefix="0" xfId="0"/>
    <xf numFmtId="167" fontId="11" fillId="0" borderId="1" applyAlignment="1" pivotButton="0" quotePrefix="0" xfId="0">
      <alignment horizontal="right"/>
    </xf>
    <xf numFmtId="0" fontId="5" fillId="0" borderId="0" applyAlignment="1" pivotButton="0" quotePrefix="0" xfId="0">
      <alignment horizontal="center" vertical="center"/>
    </xf>
    <xf numFmtId="0" fontId="12" fillId="0" borderId="0" applyAlignment="1" pivotButton="0" quotePrefix="0" xfId="0">
      <alignment horizontal="center" vertical="center"/>
    </xf>
    <xf numFmtId="0" fontId="13" fillId="0" borderId="0" pivotButton="0" quotePrefix="0" xfId="0"/>
    <xf numFmtId="0" fontId="5" fillId="5" borderId="0" pivotButton="0" quotePrefix="0" xfId="0"/>
    <xf numFmtId="0" fontId="0" fillId="5" borderId="0" pivotButton="0" quotePrefix="0" xfId="0"/>
    <xf numFmtId="0" fontId="1" fillId="2" borderId="0" applyAlignment="1" pivotButton="0" quotePrefix="0" xfId="0">
      <alignment horizontal="center" vertical="center"/>
    </xf>
    <xf numFmtId="1" fontId="2" fillId="0" borderId="0" applyAlignment="1" pivotButton="0" quotePrefix="0" xfId="0">
      <alignment horizontal="center" vertical="center"/>
    </xf>
    <xf numFmtId="0" fontId="2" fillId="0" borderId="0" applyAlignment="1" pivotButton="0" quotePrefix="0" xfId="0">
      <alignment horizontal="center" vertical="center"/>
    </xf>
    <xf numFmtId="3" fontId="2" fillId="0" borderId="0" pivotButton="0" quotePrefix="0" xfId="0"/>
    <xf numFmtId="166" fontId="5" fillId="0" borderId="0" pivotButton="0" quotePrefix="0" xfId="0"/>
    <xf numFmtId="9" fontId="11" fillId="0" borderId="0" pivotButton="0" quotePrefix="0" xfId="0"/>
    <xf numFmtId="166" fontId="2" fillId="0" borderId="0" pivotButton="0" quotePrefix="0" xfId="0"/>
    <xf numFmtId="0" fontId="7" fillId="0" borderId="0" applyAlignment="1" pivotButton="0" quotePrefix="0" xfId="0">
      <alignment horizontal="center" vertical="center"/>
    </xf>
    <xf numFmtId="168" fontId="11" fillId="0" borderId="0" pivotButton="0" quotePrefix="0" xfId="0"/>
    <xf numFmtId="174" fontId="5" fillId="0" borderId="1" pivotButton="0" quotePrefix="0" xfId="0"/>
    <xf numFmtId="173" fontId="5" fillId="0" borderId="1" pivotButton="0" quotePrefix="0" xfId="0"/>
    <xf numFmtId="1" fontId="7" fillId="0" borderId="0" applyAlignment="1" pivotButton="0" quotePrefix="0" xfId="0">
      <alignment horizontal="center" vertical="center"/>
    </xf>
    <xf numFmtId="168" fontId="11" fillId="0" borderId="0" applyAlignment="1" pivotButton="0" quotePrefix="0" xfId="0">
      <alignment horizontal="center" vertical="center"/>
    </xf>
    <xf numFmtId="175" fontId="2" fillId="0" borderId="1" pivotButton="0" quotePrefix="0" xfId="0"/>
    <xf numFmtId="170" fontId="5" fillId="0" borderId="1" pivotButton="0" quotePrefix="0" xfId="0"/>
    <xf numFmtId="175" fontId="5" fillId="0" borderId="1" pivotButton="0" quotePrefix="0" xfId="0"/>
    <xf numFmtId="166" fontId="5" fillId="0" borderId="0" applyAlignment="1" pivotButton="0" quotePrefix="0" xfId="0">
      <alignment horizontal="center" vertical="center"/>
    </xf>
    <xf numFmtId="166" fontId="14" fillId="0" borderId="0" pivotButton="0" quotePrefix="0" xfId="0"/>
    <xf numFmtId="166" fontId="15" fillId="0" borderId="0" pivotButton="0" quotePrefix="0" xfId="0"/>
    <xf numFmtId="3" fontId="16" fillId="0" borderId="0" pivotButton="0" quotePrefix="0" xfId="0"/>
    <xf numFmtId="9" fontId="2" fillId="0" borderId="0" pivotButton="0" quotePrefix="0" xfId="0"/>
    <xf numFmtId="3" fontId="5" fillId="0" borderId="0" pivotButton="0" quotePrefix="0" xfId="0"/>
    <xf numFmtId="3" fontId="11" fillId="0" borderId="0" pivotButton="0" quotePrefix="0" xfId="0"/>
    <xf numFmtId="9" fontId="16" fillId="0" borderId="0" applyAlignment="1" pivotButton="0" quotePrefix="0" xfId="0">
      <alignment horizontal="center" vertical="center"/>
    </xf>
    <xf numFmtId="176" fontId="5" fillId="0" borderId="0" pivotButton="0" quotePrefix="0" xfId="0"/>
    <xf numFmtId="9" fontId="5" fillId="0" borderId="0" pivotButton="0" quotePrefix="0" xfId="0"/>
    <xf numFmtId="3" fontId="15" fillId="0" borderId="0" pivotButton="0" quotePrefix="0" xfId="0"/>
    <xf numFmtId="3" fontId="16" fillId="0" borderId="1" pivotButton="0" quotePrefix="0" xfId="0"/>
    <xf numFmtId="167" fontId="5" fillId="0" borderId="0" pivotButton="0" quotePrefix="0" xfId="0"/>
    <xf numFmtId="172" fontId="5" fillId="0" borderId="0" pivotButton="0" quotePrefix="0" xfId="0"/>
    <xf numFmtId="2" fontId="5" fillId="0" borderId="0" pivotButton="0" quotePrefix="0" xfId="0"/>
    <xf numFmtId="0" fontId="2" fillId="0" borderId="1" applyAlignment="1" pivotButton="0" quotePrefix="0" xfId="0">
      <alignment horizontal="center" vertical="center"/>
    </xf>
    <xf numFmtId="165" fontId="6" fillId="3" borderId="0" applyAlignment="1" pivotButton="0" quotePrefix="0" xfId="0">
      <alignment horizontal="center" vertical="center"/>
    </xf>
    <xf numFmtId="0" fontId="2" fillId="0" borderId="1" applyAlignment="1" pivotButton="0" quotePrefix="0" xfId="0">
      <alignment vertical="center" wrapText="1"/>
    </xf>
    <xf numFmtId="0" fontId="16" fillId="0" borderId="1" pivotButton="0" quotePrefix="0" xfId="0"/>
    <xf numFmtId="177" fontId="2" fillId="0" borderId="1" pivotButton="0" quotePrefix="0" xfId="0"/>
    <xf numFmtId="177" fontId="16" fillId="0" borderId="1" pivotButton="0" quotePrefix="0" xfId="0"/>
    <xf numFmtId="1" fontId="5" fillId="0" borderId="1" applyAlignment="1" pivotButton="0" quotePrefix="0" xfId="0">
      <alignment horizontal="center" vertical="center"/>
    </xf>
    <xf numFmtId="0" fontId="16" fillId="0" borderId="1" applyAlignment="1" pivotButton="0" quotePrefix="0" xfId="0">
      <alignment vertical="center" wrapText="1"/>
    </xf>
    <xf numFmtId="1" fontId="2" fillId="0" borderId="1" applyAlignment="1" pivotButton="0" quotePrefix="0" xfId="0">
      <alignment horizontal="center" vertical="center"/>
    </xf>
    <xf numFmtId="1" fontId="16" fillId="0" borderId="1" applyAlignment="1" pivotButton="0" quotePrefix="0" xfId="0">
      <alignment horizontal="center" vertical="center"/>
    </xf>
    <xf numFmtId="9" fontId="5" fillId="0" borderId="1" applyAlignment="1" pivotButton="0" quotePrefix="0" xfId="0">
      <alignment horizontal="center" vertical="center"/>
    </xf>
    <xf numFmtId="1" fontId="5" fillId="0" borderId="0" applyAlignment="1" pivotButton="0" quotePrefix="0" xfId="0">
      <alignment horizontal="center" vertical="center"/>
    </xf>
    <xf numFmtId="178" fontId="5" fillId="0" borderId="0" pivotButton="0" quotePrefix="0" xfId="0"/>
    <xf numFmtId="9" fontId="6" fillId="3" borderId="0" pivotButton="0" quotePrefix="0" xfId="0"/>
    <xf numFmtId="166" fontId="6" fillId="3" borderId="1" pivotButton="0" quotePrefix="0" xfId="0"/>
    <xf numFmtId="3" fontId="6" fillId="3" borderId="1" pivotButton="0" quotePrefix="0" xfId="0"/>
    <xf numFmtId="9" fontId="6" fillId="3" borderId="1" pivotButton="0" quotePrefix="0" xfId="0"/>
    <xf numFmtId="2" fontId="6" fillId="3" borderId="1" pivotButton="0" quotePrefix="0" xfId="0"/>
    <xf numFmtId="167" fontId="6" fillId="3" borderId="1" pivotButton="0" quotePrefix="0" xfId="0"/>
    <xf numFmtId="0" fontId="5" fillId="0" borderId="1" applyAlignment="1" pivotButton="0" quotePrefix="0" xfId="0">
      <alignment vertical="top" wrapText="1"/>
    </xf>
    <xf numFmtId="0" fontId="2" fillId="0" borderId="1" applyAlignment="1" pivotButton="0" quotePrefix="0" xfId="0">
      <alignment vertical="top" wrapText="1"/>
    </xf>
    <xf numFmtId="0" fontId="17" fillId="0" borderId="0" pivotButton="0" quotePrefix="0" xfId="0"/>
    <xf numFmtId="1" fontId="2" fillId="0" borderId="0" pivotButton="0" quotePrefix="0" xfId="0"/>
    <xf numFmtId="165" fontId="2" fillId="0" borderId="0" pivotButton="0" quotePrefix="0" xfId="0"/>
    <xf numFmtId="0" fontId="1" fillId="2" borderId="0" pivotButton="0" quotePrefix="0" xfId="0"/>
    <xf numFmtId="1" fontId="7" fillId="0" borderId="0" pivotButton="0" quotePrefix="0" xfId="0"/>
    <xf numFmtId="2" fontId="2" fillId="0" borderId="0" pivotButton="0" quotePrefix="0" xfId="0"/>
    <xf numFmtId="1" fontId="5" fillId="0" borderId="0" pivotButton="0" quotePrefix="0" xfId="0"/>
  </cellXfs>
  <cellStyles count="1">
    <cellStyle name="Normal" xfId="0" builtinId="0" hidden="0"/>
  </cellStyles>
  <dxfs count="10">
    <dxf>
      <font>
        <name val="Arial"/>
        <b val="1"/>
        <color rgb="00006100"/>
      </font>
      <fill>
        <patternFill patternType="solid">
          <fgColor rgb="00D9F2DC"/>
        </patternFill>
      </fill>
    </dxf>
    <dxf>
      <font>
        <name val="Arial"/>
        <b val="1"/>
        <color rgb="007A5000"/>
      </font>
      <fill>
        <patternFill patternType="solid">
          <fgColor rgb="00FFE9B3"/>
        </patternFill>
      </fill>
    </dxf>
    <dxf>
      <font>
        <name val="Arial"/>
        <b val="1"/>
        <color rgb="009C0006"/>
      </font>
      <fill>
        <patternFill patternType="solid">
          <fgColor rgb="00F8D3D3"/>
        </patternFill>
      </fill>
    </dxf>
    <dxf>
      <font>
        <name val="Arial"/>
        <b val="1"/>
        <color rgb="0052514E"/>
      </font>
      <fill>
        <patternFill patternType="solid">
          <fgColor rgb="00E7E7E4"/>
        </patternFill>
      </fill>
    </dxf>
    <dxf>
      <font>
        <name val="Arial"/>
        <b val="1"/>
        <color rgb="00006100"/>
      </font>
    </dxf>
    <dxf>
      <font>
        <name val="Arial"/>
        <b val="1"/>
        <color rgb="00B02A2A"/>
      </font>
    </dxf>
    <dxf>
      <fill>
        <patternFill patternType="solid">
          <fgColor rgb="00D9F2DC"/>
        </patternFill>
      </fill>
    </dxf>
    <dxf>
      <fill>
        <patternFill patternType="solid">
          <fgColor rgb="00FFE9B3"/>
        </patternFill>
      </fill>
    </dxf>
    <dxf>
      <fill>
        <patternFill patternType="solid">
          <fgColor rgb="00F8D3D3"/>
        </patternFill>
      </fill>
    </dxf>
    <dxf>
      <font>
        <name val="Arial"/>
        <b val="1"/>
        <color rgb="009C0006"/>
      </font>
      <fill>
        <patternFill patternType="solid">
          <fgColor rgb="00E7E7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Perfect booking rate vs target</a:t>
            </a:r>
          </a:p>
        </rich>
      </tx>
    </title>
    <plotArea>
      <lineChart>
        <grouping val="standard"/>
        <ser>
          <idx val="0"/>
          <order val="0"/>
          <tx>
            <strRef>
              <f>'North Star'!H4</f>
            </strRef>
          </tx>
          <spPr>
            <a:ln xmlns:a="http://schemas.openxmlformats.org/drawingml/2006/main" w="28000">
              <a:solidFill>
                <a:srgbClr val="2A78D6"/>
              </a:solidFill>
              <a:prstDash val="solid"/>
            </a:ln>
          </spPr>
          <marker>
            <symbol val="none"/>
            <spPr>
              <a:ln xmlns:a="http://schemas.openxmlformats.org/drawingml/2006/main">
                <a:prstDash val="solid"/>
              </a:ln>
            </spPr>
          </marker>
          <cat>
            <numRef>
              <f>'North Star'!$B$5:$B$16</f>
            </numRef>
          </cat>
          <val>
            <numRef>
              <f>'North Star'!$H$5:$H$16</f>
            </numRef>
          </val>
        </ser>
        <ser>
          <idx val="1"/>
          <order val="1"/>
          <tx>
            <strRef>
              <f>'North Star'!I4</f>
            </strRef>
          </tx>
          <spPr>
            <a:ln xmlns:a="http://schemas.openxmlformats.org/drawingml/2006/main">
              <a:solidFill>
                <a:srgbClr val="9CA3AF"/>
              </a:solidFill>
              <a:prstDash val="dash"/>
            </a:ln>
          </spPr>
          <marker>
            <symbol val="none"/>
            <spPr>
              <a:ln xmlns:a="http://schemas.openxmlformats.org/drawingml/2006/main">
                <a:prstDash val="solid"/>
              </a:ln>
            </spPr>
          </marker>
          <cat>
            <numRef>
              <f>'North Star'!$B$5:$B$16</f>
            </numRef>
          </cat>
          <val>
            <numRef>
              <f>'North Star'!$I$5:$I$16</f>
            </numRef>
          </val>
        </ser>
        <axId val="10"/>
        <axId val="100"/>
      </lineChart>
      <catAx>
        <axId val="10"/>
        <scaling>
          <orientation val="minMax"/>
        </scaling>
        <axPos val="l"/>
        <majorTickMark val="none"/>
        <minorTickMark val="none"/>
        <crossAx val="100"/>
        <lblOffset val="100"/>
      </catAx>
      <valAx>
        <axId val="100"/>
        <scaling>
          <orientation val="minMax"/>
          <max val="0.82"/>
          <min val="0.72"/>
        </scaling>
        <axPos val="l"/>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Fill rate by city</a:t>
            </a:r>
          </a:p>
        </rich>
      </tx>
    </title>
    <plotArea>
      <barChart>
        <barDir val="bar"/>
        <grouping val="clustered"/>
        <ser>
          <idx val="0"/>
          <order val="0"/>
          <tx>
            <strRef>
              <f>'City View'!F6</f>
            </strRef>
          </tx>
          <spPr>
            <a:solidFill xmlns:a="http://schemas.openxmlformats.org/drawingml/2006/main">
              <a:srgbClr val="2A78D6"/>
            </a:solidFill>
            <a:ln xmlns:a="http://schemas.openxmlformats.org/drawingml/2006/main">
              <a:prstDash val="solid"/>
            </a:ln>
          </spPr>
          <cat>
            <numRef>
              <f>'City View'!$B$7:$B$14</f>
            </numRef>
          </cat>
          <val>
            <numRef>
              <f>'City View'!$F$7:$F$14</f>
            </numRef>
          </val>
        </ser>
        <gapWidth val="150"/>
        <axId val="10"/>
        <axId val="100"/>
      </barChart>
      <catAx>
        <axId val="10"/>
        <scaling>
          <orientation val="maxMin"/>
        </scaling>
        <axPos val="l"/>
        <majorTickMark val="none"/>
        <minorTickMark val="none"/>
        <crossAx val="100"/>
        <lblOffset val="100"/>
      </catAx>
      <valAx>
        <axId val="100"/>
        <scaling>
          <orientation val="minMax"/>
          <max val="0.97"/>
          <min val="0.85"/>
        </scaling>
        <axPos val="l"/>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Active partners vs target</a:t>
            </a:r>
          </a:p>
        </rich>
      </tx>
    </title>
    <plotArea>
      <lineChart>
        <grouping val="standard"/>
        <ser>
          <idx val="0"/>
          <order val="0"/>
          <tx>
            <strRef>
              <f>'Supply'!M4</f>
            </strRef>
          </tx>
          <spPr>
            <a:ln xmlns:a="http://schemas.openxmlformats.org/drawingml/2006/main" w="28000">
              <a:solidFill>
                <a:srgbClr val="2A78D6"/>
              </a:solidFill>
              <a:prstDash val="solid"/>
            </a:ln>
          </spPr>
          <marker>
            <symbol val="none"/>
            <spPr>
              <a:ln xmlns:a="http://schemas.openxmlformats.org/drawingml/2006/main">
                <a:prstDash val="solid"/>
              </a:ln>
            </spPr>
          </marker>
          <cat>
            <numRef>
              <f>'Supply'!$B$5:$B$16</f>
            </numRef>
          </cat>
          <val>
            <numRef>
              <f>'Supply'!$M$5:$M$16</f>
            </numRef>
          </val>
        </ser>
        <ser>
          <idx val="1"/>
          <order val="1"/>
          <tx>
            <strRef>
              <f>'Supply'!N4</f>
            </strRef>
          </tx>
          <spPr>
            <a:ln xmlns:a="http://schemas.openxmlformats.org/drawingml/2006/main">
              <a:solidFill>
                <a:srgbClr val="9CA3AF"/>
              </a:solidFill>
              <a:prstDash val="dash"/>
            </a:ln>
          </spPr>
          <marker>
            <symbol val="none"/>
            <spPr>
              <a:ln xmlns:a="http://schemas.openxmlformats.org/drawingml/2006/main">
                <a:prstDash val="solid"/>
              </a:ln>
            </spPr>
          </marker>
          <cat>
            <numRef>
              <f>'Supply'!$B$5:$B$16</f>
            </numRef>
          </cat>
          <val>
            <numRef>
              <f>'Supply'!$N$5:$N$16</f>
            </numRef>
          </val>
        </ser>
        <axId val="10"/>
        <axId val="100"/>
      </lineChart>
      <catAx>
        <axId val="10"/>
        <scaling>
          <orientation val="minMax"/>
        </scaling>
        <axPos val="l"/>
        <majorTickMark val="none"/>
        <minorTickMark val="none"/>
        <crossAx val="100"/>
        <lblOffset val="100"/>
      </catAx>
      <valAx>
        <axId val="100"/>
        <scaling>
          <orientation val="minMax"/>
          <max val="7800"/>
          <min val="6800"/>
        </scaling>
        <axPos val="l"/>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Complaints per 1,000 jobs, by service</a:t>
            </a:r>
          </a:p>
        </rich>
      </tx>
    </title>
    <plotArea>
      <barChart>
        <barDir val="bar"/>
        <grouping val="clustered"/>
        <ser>
          <idx val="0"/>
          <order val="0"/>
          <tx>
            <strRef>
              <f>'Quality &amp; Kits'!G4</f>
            </strRef>
          </tx>
          <spPr>
            <a:solidFill xmlns:a="http://schemas.openxmlformats.org/drawingml/2006/main">
              <a:srgbClr val="9EC5F4"/>
            </a:solidFill>
            <a:ln xmlns:a="http://schemas.openxmlformats.org/drawingml/2006/main">
              <a:prstDash val="solid"/>
            </a:ln>
          </spPr>
          <cat>
            <numRef>
              <f>'Quality &amp; Kits'!$B$5:$B$12</f>
            </numRef>
          </cat>
          <val>
            <numRef>
              <f>'Quality &amp; Kits'!$G$5:$G$12</f>
            </numRef>
          </val>
        </ser>
        <ser>
          <idx val="1"/>
          <order val="1"/>
          <tx>
            <strRef>
              <f>'Quality &amp; Kits'!H4</f>
            </strRef>
          </tx>
          <spPr>
            <a:solidFill xmlns:a="http://schemas.openxmlformats.org/drawingml/2006/main">
              <a:srgbClr val="2A78D6"/>
            </a:solidFill>
            <a:ln xmlns:a="http://schemas.openxmlformats.org/drawingml/2006/main">
              <a:prstDash val="solid"/>
            </a:ln>
          </spPr>
          <cat>
            <numRef>
              <f>'Quality &amp; Kits'!$B$5:$B$12</f>
            </numRef>
          </cat>
          <val>
            <numRef>
              <f>'Quality &amp; Kits'!$H$5:$H$12</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7</col>
      <colOff>0</colOff>
      <row>18</row>
      <rowOff>0</rowOff>
    </from>
    <ext cx="612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16</col>
      <colOff>0</colOff>
      <row>5</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10</col>
      <colOff>0</colOff>
      <row>19</row>
      <rowOff>0</rowOff>
    </from>
    <ext cx="540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12</col>
      <colOff>0</colOff>
      <row>3</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Weekly MIS'!A1" TargetMode="External" Id="rId1"/><Relationship Type="http://schemas.openxmlformats.org/officeDocument/2006/relationships/hyperlink" Target="#'North Star'!A1" TargetMode="External" Id="rId2"/><Relationship Type="http://schemas.openxmlformats.org/officeDocument/2006/relationships/hyperlink" Target="#'Monthly'!A1" TargetMode="External" Id="rId3"/><Relationship Type="http://schemas.openxmlformats.org/officeDocument/2006/relationships/hyperlink" Target="#'City View'!A1" TargetMode="External" Id="rId4"/><Relationship Type="http://schemas.openxmlformats.org/officeDocument/2006/relationships/hyperlink" Target="#'Supply'!A1" TargetMode="External" Id="rId5"/><Relationship Type="http://schemas.openxmlformats.org/officeDocument/2006/relationships/hyperlink" Target="#'Quality &amp; Kits'!A1" TargetMode="External" Id="rId6"/><Relationship Type="http://schemas.openxmlformats.org/officeDocument/2006/relationships/hyperlink" Target="#'Action Tracker'!A1" TargetMode="External" Id="rId7"/><Relationship Type="http://schemas.openxmlformats.org/officeDocument/2006/relationships/hyperlink" Target="#'Data Checks'!A1" TargetMode="External" Id="rId8"/><Relationship Type="http://schemas.openxmlformats.org/officeDocument/2006/relationships/hyperlink" Target="#'Targets'!A1" TargetMode="External" Id="rId9"/><Relationship Type="http://schemas.openxmlformats.org/officeDocument/2006/relationships/hyperlink" Target="#'Metric Dictionary'!A1" TargetMode="External" Id="rId10"/><Relationship Type="http://schemas.openxmlformats.org/officeDocument/2006/relationships/hyperlink" Target="#'JD Map'!A1" TargetMode="External" Id="rId11"/><Relationship Type="http://schemas.openxmlformats.org/officeDocument/2006/relationships/hyperlink" Target="#'Data'!A1" TargetMode="External" Id="rId12"/><Relationship Type="http://schemas.openxmlformats.org/officeDocument/2006/relationships/hyperlink" Target="#'Raw Bookings'!A1" TargetMode="External" Id="rId13"/></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1F2937"/>
    <outlinePr summaryBelow="1" summaryRight="1"/>
    <pageSetUpPr fitToPage="1"/>
  </sheetPr>
  <dimension ref="B2:E41"/>
  <sheetViews>
    <sheetView showGridLines="0" workbookViewId="0">
      <selection activeCell="A1" sqref="A1"/>
    </sheetView>
  </sheetViews>
  <sheetFormatPr baseColWidth="8" defaultRowHeight="15"/>
  <cols>
    <col width="3" customWidth="1" min="1" max="1"/>
    <col width="22" customWidth="1" min="2" max="2"/>
    <col width="90" customWidth="1" min="3" max="3"/>
  </cols>
  <sheetData>
    <row r="2">
      <c r="B2" s="1" t="inlineStr">
        <is>
          <t>VP Operations · Weekly MIS</t>
        </is>
      </c>
    </row>
    <row r="3">
      <c r="B3" s="2" t="inlineStr">
        <is>
          <t>Week 42 · 12–18 Oct 2026 · a working demo for the Founder's Office – Operations role</t>
        </is>
      </c>
    </row>
    <row r="4">
      <c r="B4" s="3" t="inlineStr">
        <is>
          <t>Mock data for an interview demo. Not actual company figures. Prepared by Chethan.</t>
        </is>
      </c>
      <c r="C4" s="4" t="n"/>
      <c r="D4" s="4" t="n"/>
      <c r="E4" s="4" t="n"/>
    </row>
    <row r="6">
      <c r="B6" s="5" t="inlineStr">
        <is>
          <t>North Star this week</t>
        </is>
      </c>
    </row>
    <row r="7">
      <c r="B7" s="6">
        <f>SUMIFS(d_perf,d_week,42)</f>
        <v>60899</v>
      </c>
      <c r="C7" s="7" t="str">
        <f>"perfect bookings · "&amp;TEXT(SUMIFS(d_perf,d_week,42)/SUMIFS(d_req,d_week,42),"0.0%")&amp;" of requests · target "&amp;TEXT(t_nsm,"0%")</f>
        <v>perfect bookings · 74.8% of requests · target 77%</v>
      </c>
    </row>
    <row r="9">
      <c r="B9" s="8" t="inlineStr">
        <is>
          <t>How to use</t>
        </is>
      </c>
    </row>
    <row r="10">
      <c r="B10" s="9" t="inlineStr">
        <is>
          <t>1. Open Weekly MIS. Pick a week and a city in the yellow cells. The Weekly MIS recalculates; North Star and City View follow the week (All India); other tabs show Week 42.</t>
        </is>
      </c>
    </row>
    <row r="11">
      <c r="B11" s="9" t="inlineStr">
        <is>
          <t>2. Change a target on the Targets tab. Every status, in every tab, follows.</t>
        </is>
      </c>
    </row>
    <row r="12">
      <c r="B12" s="9" t="inlineStr">
        <is>
          <t>3. All KPIs are built from the Data tab with SUMIFS: counts are summed first, then divided. Rates are never averaged.</t>
        </is>
      </c>
    </row>
    <row r="14">
      <c r="B14" s="8" t="inlineStr">
        <is>
          <t>Tabs</t>
        </is>
      </c>
    </row>
    <row r="15">
      <c r="B15" s="10" t="inlineStr">
        <is>
          <t>Weekly MIS</t>
        </is>
      </c>
      <c r="C15" s="11" t="inlineStr">
        <is>
          <t>One-page MIS: 15 KPIs, this week vs last week vs target, with status and owner</t>
        </is>
      </c>
    </row>
    <row r="16">
      <c r="B16" s="10" t="inlineStr">
        <is>
          <t>North Star</t>
        </is>
      </c>
      <c r="C16" s="11" t="inlineStr">
        <is>
          <t>Perfect bookings over 12 weeks, and which funnel term moved it</t>
        </is>
      </c>
    </row>
    <row r="17">
      <c r="B17" s="10" t="inlineStr">
        <is>
          <t>Monthly</t>
        </is>
      </c>
      <c r="C17" s="11" t="inlineStr">
        <is>
          <t>Aug, Sep and Oct to date, for the monthly review</t>
        </is>
      </c>
    </row>
    <row r="18">
      <c r="B18" s="10" t="inlineStr">
        <is>
          <t>City View</t>
        </is>
      </c>
      <c r="C18" s="11" t="inlineStr">
        <is>
          <t>9 of the 15 KPIs by city (requests, fill, on-time, cancels, productivity, complaints, kits, perfect rate), plus fill rate by day and slot</t>
        </is>
      </c>
    </row>
    <row r="19">
      <c r="B19" s="10" t="inlineStr">
        <is>
          <t>Supply</t>
        </is>
      </c>
      <c r="C19" s="11" t="inlineStr">
        <is>
          <t>Onboarding funnel, cohort retention, utilisation</t>
        </is>
      </c>
    </row>
    <row r="20">
      <c r="B20" s="10" t="inlineStr">
        <is>
          <t>Quality &amp; Kits</t>
        </is>
      </c>
      <c r="C20" s="11" t="inlineStr">
        <is>
          <t>Complaints by service and hub, kit items missing, CORREL</t>
        </is>
      </c>
    </row>
    <row r="21">
      <c r="B21" s="10" t="inlineStr">
        <is>
          <t>Action Tracker</t>
        </is>
      </c>
      <c r="C21" s="11" t="inlineStr">
        <is>
          <t>Five managers' actions, flags by formula, manager summary</t>
        </is>
      </c>
    </row>
    <row r="22">
      <c r="B22" s="10" t="inlineStr">
        <is>
          <t>Data Checks</t>
        </is>
      </c>
      <c r="C22" s="11" t="inlineStr">
        <is>
          <t>8 checks that run before the MIS goes out</t>
        </is>
      </c>
    </row>
    <row r="23">
      <c r="B23" s="10" t="inlineStr">
        <is>
          <t>Targets</t>
        </is>
      </c>
      <c r="C23" s="11" t="inlineStr">
        <is>
          <t>Targets, direction and owners. Drives every status</t>
        </is>
      </c>
    </row>
    <row r="24">
      <c r="B24" s="10" t="inlineStr">
        <is>
          <t>Metric Dictionary</t>
        </is>
      </c>
      <c r="C24" s="11" t="inlineStr">
        <is>
          <t>One definition per number</t>
        </is>
      </c>
    </row>
    <row r="25">
      <c r="B25" s="10" t="inlineStr">
        <is>
          <t>JD Map</t>
        </is>
      </c>
      <c r="C25" s="11" t="inlineStr">
        <is>
          <t>Job description × this pack × my track record</t>
        </is>
      </c>
    </row>
    <row r="26">
      <c r="B26" s="10" t="inlineStr">
        <is>
          <t>Data</t>
        </is>
      </c>
      <c r="C26" s="11" t="inlineStr">
        <is>
          <t>Fact table: 12 weeks × 8 cities of counts</t>
        </is>
      </c>
    </row>
    <row r="27">
      <c r="B27" s="10" t="inlineStr">
        <is>
          <t>Raw Bookings</t>
        </is>
      </c>
      <c r="C27" s="11" t="inlineStr">
        <is>
          <t>A 300-row booking log to practise on</t>
        </is>
      </c>
    </row>
    <row r="29">
      <c r="B29" s="8" t="inlineStr">
        <is>
          <t>Cell colours</t>
        </is>
      </c>
    </row>
    <row r="30">
      <c r="B30" s="12" t="inlineStr">
        <is>
          <t>Input</t>
        </is>
      </c>
      <c r="C30" s="11" t="inlineStr">
        <is>
          <t>Yellow fill, blue text: change these</t>
        </is>
      </c>
    </row>
    <row r="31">
      <c r="B31" s="9" t="inlineStr">
        <is>
          <t>Formula</t>
        </is>
      </c>
      <c r="C31" s="11" t="inlineStr">
        <is>
          <t>Black text: calculated, don't type over</t>
        </is>
      </c>
    </row>
    <row r="32">
      <c r="B32" s="13" t="inlineStr">
        <is>
          <t>Link</t>
        </is>
      </c>
      <c r="C32" s="11" t="inlineStr">
        <is>
          <t>Green text: pulled from another tab</t>
        </is>
      </c>
    </row>
    <row r="33">
      <c r="B33" s="14" t="inlineStr">
        <is>
          <t>Raw input</t>
        </is>
      </c>
      <c r="C33" s="11" t="inlineStr">
        <is>
          <t>Blue text: source data typed in or pasted from a system</t>
        </is>
      </c>
    </row>
    <row r="35">
      <c r="B35" s="8" t="inlineStr">
        <is>
          <t>Status rule</t>
        </is>
      </c>
    </row>
    <row r="36">
      <c r="B36" s="15" t="inlineStr">
        <is>
          <t>Green</t>
        </is>
      </c>
      <c r="C36" s="11" t="inlineStr">
        <is>
          <t>Meets target</t>
        </is>
      </c>
    </row>
    <row r="37">
      <c r="B37" s="16" t="inlineStr">
        <is>
          <t>Amber</t>
        </is>
      </c>
      <c r="C37" s="11" t="inlineStr">
        <is>
          <t>Within 5% of target</t>
        </is>
      </c>
    </row>
    <row r="38">
      <c r="B38" s="17" t="inlineStr">
        <is>
          <t>Red</t>
        </is>
      </c>
      <c r="C38" s="11" t="inlineStr">
        <is>
          <t>Further off than 5%</t>
        </is>
      </c>
    </row>
    <row r="39">
      <c r="B39" s="18" t="inlineStr">
        <is>
          <t>Info</t>
        </is>
      </c>
      <c r="C39" s="11" t="inlineStr">
        <is>
          <t>Tracked, no target</t>
        </is>
      </c>
    </row>
    <row r="41">
      <c r="B41" s="19" t="inlineStr">
        <is>
          <t>Prepared by Chethan for the interview on Mon 19 Oct 2026.</t>
        </is>
      </c>
    </row>
  </sheetData>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2A78D6"/>
    <outlinePr summaryBelow="1" summaryRight="1"/>
    <pageSetUpPr fitToPage="1"/>
  </sheetPr>
  <dimension ref="A1:P48"/>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1" customWidth="1" min="3" max="3"/>
    <col width="11" customWidth="1" min="4" max="4"/>
    <col width="11" customWidth="1" min="5" max="5"/>
    <col width="11" customWidth="1" min="6" max="6"/>
    <col width="10" customWidth="1" min="7" max="7"/>
    <col width="10" customWidth="1" min="8" max="8"/>
    <col width="15" customWidth="1" min="9" max="9"/>
    <col width="3" customWidth="1" min="10" max="10"/>
    <col width="4" customWidth="1" min="11" max="11"/>
    <col width="3" customWidth="1" min="12" max="12"/>
    <col width="30" customWidth="1" min="13" max="13"/>
    <col width="12" customWidth="1" min="14" max="14"/>
    <col width="12" customWidth="1" min="15" max="15"/>
    <col width="12" customWidth="1" min="16" max="16"/>
  </cols>
  <sheetData>
    <row r="1" ht="26" customHeight="1">
      <c r="B1" s="20" t="inlineStr">
        <is>
          <t>VP Operations · Weekly MIS</t>
        </is>
      </c>
    </row>
    <row r="2">
      <c r="B2" s="19" t="inlineStr">
        <is>
          <t>Mock data for an interview demo. Not actual company figures. Prepared by Chethan.</t>
        </is>
      </c>
    </row>
    <row r="4">
      <c r="B4" s="21" t="inlineStr">
        <is>
          <t>Week</t>
        </is>
      </c>
      <c r="C4" s="22" t="n">
        <v>42</v>
      </c>
      <c r="D4" s="11" t="str">
        <f>"W"&amp;C4&amp;"  ·  "&amp;TEXT(INDEX(d_start,MATCH(C4,d_week,0)),"d mmm")&amp;" – "&amp;TEXT(INDEX(d_start,MATCH(C4,d_week,0))+6,"d mmm yyyy")</f>
        <v>W42  ·  12 Oct – 18 Oct 2026</v>
      </c>
      <c r="G4" s="21" t="inlineStr">
        <is>
          <t>How to use</t>
        </is>
      </c>
    </row>
    <row r="5">
      <c r="B5" s="21" t="inlineStr">
        <is>
          <t>Scope</t>
        </is>
      </c>
      <c r="C5" s="23" t="inlineStr">
        <is>
          <t>All India</t>
        </is>
      </c>
      <c r="G5" s="11" t="inlineStr">
        <is>
          <t>Pick a week (W34–W42) and a scope in the yellow cells. Every number below recalculates.</t>
        </is>
      </c>
    </row>
    <row r="6">
      <c r="B6" s="21" t="inlineStr">
        <is>
          <t>Compared with</t>
        </is>
      </c>
      <c r="C6" s="24">
        <f>C4-1</f>
        <v>41</v>
      </c>
      <c r="G6" s="11" t="inlineStr">
        <is>
          <t>Status: Green meets target · Amber within 5% of it · Red further off · Info has no target.</t>
        </is>
      </c>
    </row>
    <row r="7">
      <c r="M7" s="5" t="inlineStr">
        <is>
          <t>Calculation block: summed counts (formulas, do not edit)</t>
        </is>
      </c>
    </row>
    <row r="8" ht="30" customHeight="1">
      <c r="B8" s="25" t="inlineStr">
        <is>
          <t>Metric</t>
        </is>
      </c>
      <c r="C8" s="26" t="inlineStr">
        <is>
          <t>This wk</t>
        </is>
      </c>
      <c r="D8" s="26" t="inlineStr">
        <is>
          <t>Last wk</t>
        </is>
      </c>
      <c r="E8" s="26" t="inlineStr">
        <is>
          <t>Change</t>
        </is>
      </c>
      <c r="F8" s="26" t="inlineStr">
        <is>
          <t>Last 4 wks</t>
        </is>
      </c>
      <c r="G8" s="26" t="inlineStr">
        <is>
          <t>Target</t>
        </is>
      </c>
      <c r="H8" s="26" t="inlineStr">
        <is>
          <t>Status</t>
        </is>
      </c>
      <c r="I8" s="26" t="inlineStr">
        <is>
          <t>Owner</t>
        </is>
      </c>
      <c r="M8" s="25" t="inlineStr">
        <is>
          <t>Count</t>
        </is>
      </c>
      <c r="N8" s="26" t="inlineStr">
        <is>
          <t>This week</t>
        </is>
      </c>
      <c r="O8" s="26" t="inlineStr">
        <is>
          <t>Last week</t>
        </is>
      </c>
      <c r="P8" s="26" t="inlineStr">
        <is>
          <t>Last 4 weeks</t>
        </is>
      </c>
    </row>
    <row r="9">
      <c r="B9" s="27" t="inlineStr">
        <is>
          <t>North Star</t>
        </is>
      </c>
      <c r="C9" s="28" t="n"/>
      <c r="D9" s="28" t="n"/>
      <c r="E9" s="28" t="n"/>
      <c r="F9" s="28" t="n"/>
      <c r="G9" s="28" t="n"/>
      <c r="H9" s="28" t="n"/>
      <c r="I9" s="28" t="n"/>
      <c r="M9" s="29" t="inlineStr">
        <is>
          <t>Booking requests</t>
        </is>
      </c>
      <c r="N9" s="30">
        <f>IF(sel_scope="All India",SUMIFS(d_req,d_week,sel_week),SUMIFS(d_req,d_week,sel_week,d_city,sel_scope))</f>
        <v>81400</v>
      </c>
      <c r="O9" s="30">
        <f>IF(sel_scope="All India",SUMIFS(d_req,d_week,sel_week-1),SUMIFS(d_req,d_week,sel_week-1,d_city,sel_scope))</f>
        <v>79900</v>
      </c>
      <c r="P9" s="30">
        <f>IF(sel_scope="All India",SUMIFS(d_req,d_week,"&gt;="&amp;(sel_week-3),d_week,"&lt;="&amp;sel_week),SUMIFS(d_req,d_week,"&gt;="&amp;(sel_week-3),d_week,"&lt;="&amp;sel_week,d_city,sel_scope))</f>
        <v>318700</v>
      </c>
    </row>
    <row r="10">
      <c r="A10" s="31" t="inlineStr">
        <is>
          <t>nsm</t>
        </is>
      </c>
      <c r="B10" s="32" t="inlineStr">
        <is>
          <t>Perfect booking rate</t>
        </is>
      </c>
      <c r="C10" s="33">
        <f>tw_perf/tw_req</f>
        <v>0.748144963144963</v>
      </c>
      <c r="D10" s="34">
        <f>lw_perf/lw_req</f>
        <v>0.774968710888611</v>
      </c>
      <c r="E10" s="35">
        <f>(C10-D10)*100</f>
        <v>-2.68237477436476</v>
      </c>
      <c r="F10" s="34">
        <f>l4_perf/l4_req</f>
        <v>0.772425478506432</v>
      </c>
      <c r="G10" s="36">
        <f>IF(INDEX(tg_dir,MATCH($A10,tg_key,0))="Info","–",IF(AND(sel_scope&lt;&gt;"All India",INDEX(tg_nat,MATCH($A10,tg_key,0))="Yes"),"–",INDEX(tg_target,MATCH($A10,tg_key,0))))</f>
        <v>0.77</v>
      </c>
      <c r="H10" s="37" t="str">
        <f>IF(OR(INDEX(tg_dir,MATCH($A10,tg_key,0))="Info",G10="–"),"Info",IF(INDEX(tg_dir,MATCH($A10,tg_key,0))="Higher",IF(C10&gt;=G10,"Green",IF(C10&gt;=G10*(1-amber_band),"Amber","Red")),IF(C10&lt;=G10,"Green",IF(C10&lt;=G10*(1+amber_band),"Amber","Red"))))</f>
        <v>Amber</v>
      </c>
      <c r="I10" s="38" t="str">
        <f>INDEX(tg_owner,MATCH($A10,tg_key,0))</f>
        <v>All five</v>
      </c>
      <c r="K10" s="31" t="str">
        <f>INDEX(tg_good,MATCH($A10,tg_key,0))</f>
        <v>Up</v>
      </c>
      <c r="M10" s="29" t="inlineStr">
        <is>
          <t>Partner assigned</t>
        </is>
      </c>
      <c r="N10" s="30">
        <f>IF(sel_scope="All India",SUMIFS(d_asg,d_week,sel_week),SUMIFS(d_asg,d_week,sel_week,d_city,sel_scope))</f>
        <v>74562</v>
      </c>
      <c r="O10" s="30">
        <f>IF(sel_scope="All India",SUMIFS(d_asg,d_week,sel_week-1),SUMIFS(d_asg,d_week,sel_week-1,d_city,sel_scope))</f>
        <v>74307</v>
      </c>
      <c r="P10" s="30">
        <f>IF(sel_scope="All India",SUMIFS(d_asg,d_week,"&gt;="&amp;(sel_week-3),d_week,"&lt;="&amp;sel_week),SUMIFS(d_asg,d_week,"&gt;="&amp;(sel_week-3),d_week,"&lt;="&amp;sel_week,d_city,sel_scope))</f>
        <v>295879</v>
      </c>
    </row>
    <row r="11">
      <c r="B11" s="27" t="inlineStr">
        <is>
          <t>Demand &amp; fulfilment</t>
        </is>
      </c>
      <c r="C11" s="28" t="n"/>
      <c r="D11" s="28" t="n"/>
      <c r="E11" s="28" t="n"/>
      <c r="F11" s="28" t="n"/>
      <c r="G11" s="28" t="n"/>
      <c r="H11" s="28" t="n"/>
      <c r="I11" s="28" t="n"/>
      <c r="M11" s="29" t="inlineStr">
        <is>
          <t>Cancelled, customer</t>
        </is>
      </c>
      <c r="N11" s="30">
        <f>IF(sel_scope="All India",SUMIFS(d_cc,d_week,sel_week),SUMIFS(d_cc,d_week,sel_week,d_city,sel_scope))</f>
        <v>2165</v>
      </c>
      <c r="O11" s="30">
        <f>IF(sel_scope="All India",SUMIFS(d_cc,d_week,sel_week-1),SUMIFS(d_cc,d_week,sel_week-1,d_city,sel_scope))</f>
        <v>1850</v>
      </c>
      <c r="P11" s="30">
        <f>IF(sel_scope="All India",SUMIFS(d_cc,d_week,"&gt;="&amp;(sel_week-3),d_week,"&lt;="&amp;sel_week),SUMIFS(d_cc,d_week,"&gt;="&amp;(sel_week-3),d_week,"&lt;="&amp;sel_week,d_city,sel_scope))</f>
        <v>7690</v>
      </c>
    </row>
    <row r="12">
      <c r="A12" s="31" t="inlineStr">
        <is>
          <t>req</t>
        </is>
      </c>
      <c r="B12" s="39" t="inlineStr">
        <is>
          <t>Booking requests</t>
        </is>
      </c>
      <c r="C12" s="40">
        <f>tw_req/1</f>
        <v>81400</v>
      </c>
      <c r="D12" s="41">
        <f>lw_req/1</f>
        <v>79900</v>
      </c>
      <c r="E12" s="42">
        <f>C12/D12-1</f>
        <v>0.018773466833542</v>
      </c>
      <c r="F12" s="41">
        <f>l4_req/4</f>
        <v>79675</v>
      </c>
      <c r="G12" s="43" t="str">
        <f>IF(INDEX(tg_dir,MATCH($A12,tg_key,0))="Info","–",IF(AND(sel_scope&lt;&gt;"All India",INDEX(tg_nat,MATCH($A12,tg_key,0))="Yes"),"–",INDEX(tg_target,MATCH($A12,tg_key,0))))</f>
        <v>–</v>
      </c>
      <c r="H12" s="37" t="str">
        <f>IF(OR(INDEX(tg_dir,MATCH($A12,tg_key,0))="Info",G12="–"),"Info",IF(INDEX(tg_dir,MATCH($A12,tg_key,0))="Higher",IF(C12&gt;=G12,"Green",IF(C12&gt;=G12*(1-amber_band),"Amber","Red")),IF(C12&lt;=G12,"Green",IF(C12&lt;=G12*(1+amber_band),"Amber","Red"))))</f>
        <v>Info</v>
      </c>
      <c r="I12" s="38" t="str">
        <f>INDEX(tg_owner,MATCH($A12,tg_key,0))</f>
        <v>City Ops</v>
      </c>
      <c r="K12" s="31" t="str">
        <f>INDEX(tg_good,MATCH($A12,tg_key,0))</f>
        <v>Up</v>
      </c>
      <c r="M12" s="29" t="inlineStr">
        <is>
          <t>Cancelled, partner</t>
        </is>
      </c>
      <c r="N12" s="30">
        <f>IF(sel_scope="All India",SUMIFS(d_pc,d_week,sel_week),SUMIFS(d_pc,d_week,sel_week,d_city,sel_scope))</f>
        <v>1197</v>
      </c>
      <c r="O12" s="30">
        <f>IF(sel_scope="All India",SUMIFS(d_pc,d_week,sel_week-1),SUMIFS(d_pc,d_week,sel_week-1,d_city,sel_scope))</f>
        <v>957</v>
      </c>
      <c r="P12" s="30">
        <f>IF(sel_scope="All India",SUMIFS(d_pc,d_week,"&gt;="&amp;(sel_week-3),d_week,"&lt;="&amp;sel_week),SUMIFS(d_pc,d_week,"&gt;="&amp;(sel_week-3),d_week,"&lt;="&amp;sel_week,d_city,sel_scope))</f>
        <v>3992</v>
      </c>
    </row>
    <row r="13">
      <c r="A13" s="31" t="inlineStr">
        <is>
          <t>fill</t>
        </is>
      </c>
      <c r="B13" s="39" t="inlineStr">
        <is>
          <t>Fill rate</t>
        </is>
      </c>
      <c r="C13" s="33">
        <f>tw_asg/tw_req</f>
        <v>0.915995085995086</v>
      </c>
      <c r="D13" s="34">
        <f>lw_asg/lw_req</f>
        <v>0.93</v>
      </c>
      <c r="E13" s="35">
        <f>(C13-D13)*100</f>
        <v>-1.40049140049141</v>
      </c>
      <c r="F13" s="34">
        <f>l4_asg/l4_req</f>
        <v>0.928393473486037</v>
      </c>
      <c r="G13" s="36">
        <f>IF(INDEX(tg_dir,MATCH($A13,tg_key,0))="Info","–",IF(AND(sel_scope&lt;&gt;"All India",INDEX(tg_nat,MATCH($A13,tg_key,0))="Yes"),"–",INDEX(tg_target,MATCH($A13,tg_key,0))))</f>
        <v>0.95</v>
      </c>
      <c r="H13" s="37" t="str">
        <f>IF(OR(INDEX(tg_dir,MATCH($A13,tg_key,0))="Info",G13="–"),"Info",IF(INDEX(tg_dir,MATCH($A13,tg_key,0))="Higher",IF(C13&gt;=G13,"Green",IF(C13&gt;=G13*(1-amber_band),"Amber","Red")),IF(C13&lt;=G13,"Green",IF(C13&lt;=G13*(1+amber_band),"Amber","Red"))))</f>
        <v>Amber</v>
      </c>
      <c r="I13" s="38" t="str">
        <f>INDEX(tg_owner,MATCH($A13,tg_key,0))</f>
        <v>City Ops</v>
      </c>
      <c r="K13" s="31" t="str">
        <f>INDEX(tg_good,MATCH($A13,tg_key,0))</f>
        <v>Up</v>
      </c>
      <c r="M13" s="29" t="inlineStr">
        <is>
          <t>Jobs completed</t>
        </is>
      </c>
      <c r="N13" s="30">
        <f>IF(sel_scope="All India",SUMIFS(d_comp,d_week,sel_week),SUMIFS(d_comp,d_week,sel_week,d_city,sel_scope))</f>
        <v>71200</v>
      </c>
      <c r="O13" s="30">
        <f>IF(sel_scope="All India",SUMIFS(d_comp,d_week,sel_week-1),SUMIFS(d_comp,d_week,sel_week-1,d_city,sel_scope))</f>
        <v>71500</v>
      </c>
      <c r="P13" s="30">
        <f>IF(sel_scope="All India",SUMIFS(d_comp,d_week,"&gt;="&amp;(sel_week-3),d_week,"&lt;="&amp;sel_week),SUMIFS(d_comp,d_week,"&gt;="&amp;(sel_week-3),d_week,"&lt;="&amp;sel_week,d_city,sel_scope))</f>
        <v>284197</v>
      </c>
    </row>
    <row r="14">
      <c r="A14" s="31" t="inlineStr">
        <is>
          <t>comp</t>
        </is>
      </c>
      <c r="B14" s="39" t="inlineStr">
        <is>
          <t>Jobs completed</t>
        </is>
      </c>
      <c r="C14" s="40">
        <f>tw_comp/1</f>
        <v>71200</v>
      </c>
      <c r="D14" s="41">
        <f>lw_comp/1</f>
        <v>71500</v>
      </c>
      <c r="E14" s="42">
        <f>C14/D14-1</f>
        <v>-0.00419580419580423</v>
      </c>
      <c r="F14" s="41">
        <f>l4_comp/4</f>
        <v>71049.25</v>
      </c>
      <c r="G14" s="43" t="str">
        <f>IF(INDEX(tg_dir,MATCH($A14,tg_key,0))="Info","–",IF(AND(sel_scope&lt;&gt;"All India",INDEX(tg_nat,MATCH($A14,tg_key,0))="Yes"),"–",INDEX(tg_target,MATCH($A14,tg_key,0))))</f>
        <v>–</v>
      </c>
      <c r="H14" s="37" t="str">
        <f>IF(OR(INDEX(tg_dir,MATCH($A14,tg_key,0))="Info",G14="–"),"Info",IF(INDEX(tg_dir,MATCH($A14,tg_key,0))="Higher",IF(C14&gt;=G14,"Green",IF(C14&gt;=G14*(1-amber_band),"Amber","Red")),IF(C14&lt;=G14,"Green",IF(C14&lt;=G14*(1+amber_band),"Amber","Red"))))</f>
        <v>Info</v>
      </c>
      <c r="I14" s="38" t="str">
        <f>INDEX(tg_owner,MATCH($A14,tg_key,0))</f>
        <v>City Ops</v>
      </c>
      <c r="K14" s="31" t="str">
        <f>INDEX(tg_good,MATCH($A14,tg_key,0))</f>
        <v>Up</v>
      </c>
      <c r="M14" s="29" t="inlineStr">
        <is>
          <t>Started on time</t>
        </is>
      </c>
      <c r="N14" s="30">
        <f>IF(sel_scope="All India",SUMIFS(d_ot,d_week,sel_week),SUMIFS(d_ot,d_week,sel_week,d_city,sel_scope))</f>
        <v>62941</v>
      </c>
      <c r="O14" s="30">
        <f>IF(sel_scope="All India",SUMIFS(d_ot,d_week,sel_week-1),SUMIFS(d_ot,d_week,sel_week-1,d_city,sel_scope))</f>
        <v>63706</v>
      </c>
      <c r="P14" s="30">
        <f>IF(sel_scope="All India",SUMIFS(d_ot,d_week,"&gt;="&amp;(sel_week-3),d_week,"&lt;="&amp;sel_week),SUMIFS(d_ot,d_week,"&gt;="&amp;(sel_week-3),d_week,"&lt;="&amp;sel_week,d_city,sel_scope))</f>
        <v>253498</v>
      </c>
    </row>
    <row r="15">
      <c r="A15" s="31" t="inlineStr">
        <is>
          <t>ot</t>
        </is>
      </c>
      <c r="B15" s="39" t="inlineStr">
        <is>
          <t>On-time arrival</t>
        </is>
      </c>
      <c r="C15" s="33">
        <f>tw_ot/tw_comp</f>
        <v>0.884002808988764</v>
      </c>
      <c r="D15" s="34">
        <f>lw_ot/lw_comp</f>
        <v>0.890993006993007</v>
      </c>
      <c r="E15" s="35">
        <f>(C15-D15)*100</f>
        <v>-0.699019800424294</v>
      </c>
      <c r="F15" s="34">
        <f>l4_ot/l4_comp</f>
        <v>0.89197985904144</v>
      </c>
      <c r="G15" s="36">
        <f>IF(INDEX(tg_dir,MATCH($A15,tg_key,0))="Info","–",IF(AND(sel_scope&lt;&gt;"All India",INDEX(tg_nat,MATCH($A15,tg_key,0))="Yes"),"–",INDEX(tg_target,MATCH($A15,tg_key,0))))</f>
        <v>0.92</v>
      </c>
      <c r="H15" s="37" t="str">
        <f>IF(OR(INDEX(tg_dir,MATCH($A15,tg_key,0))="Info",G15="–"),"Info",IF(INDEX(tg_dir,MATCH($A15,tg_key,0))="Higher",IF(C15&gt;=G15,"Green",IF(C15&gt;=G15*(1-amber_band),"Amber","Red")),IF(C15&lt;=G15,"Green",IF(C15&lt;=G15*(1+amber_band),"Amber","Red"))))</f>
        <v>Amber</v>
      </c>
      <c r="I15" s="38" t="str">
        <f>INDEX(tg_owner,MATCH($A15,tg_key,0))</f>
        <v>City Ops</v>
      </c>
      <c r="K15" s="31" t="str">
        <f>INDEX(tg_good,MATCH($A15,tg_key,0))</f>
        <v>Up</v>
      </c>
      <c r="M15" s="29" t="inlineStr">
        <is>
          <t>Perfect bookings</t>
        </is>
      </c>
      <c r="N15" s="30">
        <f>IF(sel_scope="All India",SUMIFS(d_perf,d_week,sel_week),SUMIFS(d_perf,d_week,sel_week,d_city,sel_scope))</f>
        <v>60899</v>
      </c>
      <c r="O15" s="30">
        <f>IF(sel_scope="All India",SUMIFS(d_perf,d_week,sel_week-1),SUMIFS(d_perf,d_week,sel_week-1,d_city,sel_scope))</f>
        <v>61920</v>
      </c>
      <c r="P15" s="30">
        <f>IF(sel_scope="All India",SUMIFS(d_perf,d_week,"&gt;="&amp;(sel_week-3),d_week,"&lt;="&amp;sel_week),SUMIFS(d_perf,d_week,"&gt;="&amp;(sel_week-3),d_week,"&lt;="&amp;sel_week,d_city,sel_scope))</f>
        <v>246172</v>
      </c>
    </row>
    <row r="16">
      <c r="A16" s="31" t="inlineStr">
        <is>
          <t>cc</t>
        </is>
      </c>
      <c r="B16" s="39" t="inlineStr">
        <is>
          <t>Cancellations, customer side</t>
        </is>
      </c>
      <c r="C16" s="33">
        <f>tw_cc/tw_asg</f>
        <v>0.0290362382983289</v>
      </c>
      <c r="D16" s="34">
        <f>lw_cc/lw_asg</f>
        <v>0.0248967122882097</v>
      </c>
      <c r="E16" s="35">
        <f>(C16-D16)*100</f>
        <v>0.413952601011918</v>
      </c>
      <c r="F16" s="34">
        <f>l4_cc/l4_asg</f>
        <v>0.0259903541650472</v>
      </c>
      <c r="G16" s="36">
        <f>IF(INDEX(tg_dir,MATCH($A16,tg_key,0))="Info","–",IF(AND(sel_scope&lt;&gt;"All India",INDEX(tg_nat,MATCH($A16,tg_key,0))="Yes"),"–",INDEX(tg_target,MATCH($A16,tg_key,0))))</f>
        <v>0.03</v>
      </c>
      <c r="H16" s="37" t="str">
        <f>IF(OR(INDEX(tg_dir,MATCH($A16,tg_key,0))="Info",G16="–"),"Info",IF(INDEX(tg_dir,MATCH($A16,tg_key,0))="Higher",IF(C16&gt;=G16,"Green",IF(C16&gt;=G16*(1-amber_band),"Amber","Red")),IF(C16&lt;=G16,"Green",IF(C16&lt;=G16*(1+amber_band),"Amber","Red"))))</f>
        <v>Green</v>
      </c>
      <c r="I16" s="38" t="str">
        <f>INDEX(tg_owner,MATCH($A16,tg_key,0))</f>
        <v>CX</v>
      </c>
      <c r="K16" s="31" t="str">
        <f>INDEX(tg_good,MATCH($A16,tg_key,0))</f>
        <v>Down</v>
      </c>
      <c r="M16" s="29" t="inlineStr">
        <is>
          <t>Complaints</t>
        </is>
      </c>
      <c r="N16" s="30">
        <f>IF(sel_scope="All India",SUMIFS(d_cpl,d_week,sel_week),SUMIFS(d_cpl,d_week,sel_week,d_city,sel_scope))</f>
        <v>698</v>
      </c>
      <c r="O16" s="30">
        <f>IF(sel_scope="All India",SUMIFS(d_cpl,d_week,sel_week-1),SUMIFS(d_cpl,d_week,sel_week-1,d_city,sel_scope))</f>
        <v>579</v>
      </c>
      <c r="P16" s="30">
        <f>IF(sel_scope="All India",SUMIFS(d_cpl,d_week,"&gt;="&amp;(sel_week-3),d_week,"&lt;="&amp;sel_week),SUMIFS(d_cpl,d_week,"&gt;="&amp;(sel_week-3),d_week,"&lt;="&amp;sel_week,d_city,sel_scope))</f>
        <v>2395</v>
      </c>
    </row>
    <row r="17">
      <c r="A17" s="31" t="inlineStr">
        <is>
          <t>pc</t>
        </is>
      </c>
      <c r="B17" s="39" t="inlineStr">
        <is>
          <t>Cancellations, partner side</t>
        </is>
      </c>
      <c r="C17" s="33">
        <f>tw_pc/tw_asg</f>
        <v>0.0160537539229098</v>
      </c>
      <c r="D17" s="34">
        <f>lw_pc/lw_asg</f>
        <v>0.0128790019782793</v>
      </c>
      <c r="E17" s="35">
        <f>(C17-D17)*100</f>
        <v>0.317475194463049</v>
      </c>
      <c r="F17" s="34">
        <f>l4_pc/l4_asg</f>
        <v>0.0134920017980323</v>
      </c>
      <c r="G17" s="36">
        <f>IF(INDEX(tg_dir,MATCH($A17,tg_key,0))="Info","–",IF(AND(sel_scope&lt;&gt;"All India",INDEX(tg_nat,MATCH($A17,tg_key,0))="Yes"),"–",INDEX(tg_target,MATCH($A17,tg_key,0))))</f>
        <v>0.015</v>
      </c>
      <c r="H17" s="37" t="str">
        <f>IF(OR(INDEX(tg_dir,MATCH($A17,tg_key,0))="Info",G17="–"),"Info",IF(INDEX(tg_dir,MATCH($A17,tg_key,0))="Higher",IF(C17&gt;=G17,"Green",IF(C17&gt;=G17*(1-amber_band),"Amber","Red")),IF(C17&lt;=G17,"Green",IF(C17&lt;=G17*(1+amber_band),"Amber","Red"))))</f>
        <v>Red</v>
      </c>
      <c r="I17" s="38" t="str">
        <f>INDEX(tg_owner,MATCH($A17,tg_key,0))</f>
        <v>Supply</v>
      </c>
      <c r="K17" s="31" t="str">
        <f>INDEX(tg_good,MATCH($A17,tg_key,0))</f>
        <v>Down</v>
      </c>
      <c r="M17" s="29" t="inlineStr">
        <is>
          <t>Redo / refunds</t>
        </is>
      </c>
      <c r="N17" s="30">
        <f>IF(sel_scope="All India",SUMIFS(d_redo,d_week,sel_week),SUMIFS(d_redo,d_week,sel_week,d_city,sel_scope))</f>
        <v>783</v>
      </c>
      <c r="O17" s="30">
        <f>IF(sel_scope="All India",SUMIFS(d_redo,d_week,sel_week-1),SUMIFS(d_redo,d_week,sel_week-1,d_city,sel_scope))</f>
        <v>715</v>
      </c>
      <c r="P17" s="30">
        <f>IF(sel_scope="All India",SUMIFS(d_redo,d_week,"&gt;="&amp;(sel_week-3),d_week,"&lt;="&amp;sel_week),SUMIFS(d_redo,d_week,"&gt;="&amp;(sel_week-3),d_week,"&lt;="&amp;sel_week,d_city,sel_scope))</f>
        <v>2913</v>
      </c>
    </row>
    <row r="18">
      <c r="B18" s="27" t="inlineStr">
        <is>
          <t>Partner supply</t>
        </is>
      </c>
      <c r="C18" s="28" t="n"/>
      <c r="D18" s="28" t="n"/>
      <c r="E18" s="28" t="n"/>
      <c r="F18" s="28" t="n"/>
      <c r="G18" s="28" t="n"/>
      <c r="H18" s="28" t="n"/>
      <c r="I18" s="28" t="n"/>
      <c r="M18" s="29" t="inlineStr">
        <is>
          <t>Ratings given</t>
        </is>
      </c>
      <c r="N18" s="30">
        <f>IF(sel_scope="All India",SUMIFS(d_rc,d_week,sel_week),SUMIFS(d_rc,d_week,sel_week,d_city,sel_scope))</f>
        <v>44144</v>
      </c>
      <c r="O18" s="30">
        <f>IF(sel_scope="All India",SUMIFS(d_rc,d_week,sel_week-1),SUMIFS(d_rc,d_week,sel_week-1,d_city,sel_scope))</f>
        <v>44330</v>
      </c>
      <c r="P18" s="30">
        <f>IF(sel_scope="All India",SUMIFS(d_rc,d_week,"&gt;="&amp;(sel_week-3),d_week,"&lt;="&amp;sel_week),SUMIFS(d_rc,d_week,"&gt;="&amp;(sel_week-3),d_week,"&lt;="&amp;sel_week,d_city,sel_scope))</f>
        <v>176062</v>
      </c>
    </row>
    <row r="19">
      <c r="A19" s="31" t="inlineStr">
        <is>
          <t>act</t>
        </is>
      </c>
      <c r="B19" s="39" t="inlineStr">
        <is>
          <t>Active partners (1+ job)</t>
        </is>
      </c>
      <c r="C19" s="40">
        <f>tw_act/1</f>
        <v>7480</v>
      </c>
      <c r="D19" s="41">
        <f>lw_act/1</f>
        <v>7420</v>
      </c>
      <c r="E19" s="42">
        <f>C19/D19-1</f>
        <v>0.00808625336927227</v>
      </c>
      <c r="F19" s="41">
        <f>l4_act/4</f>
        <v>7405</v>
      </c>
      <c r="G19" s="43">
        <f>IF(INDEX(tg_dir,MATCH($A19,tg_key,0))="Info","–",IF(AND(sel_scope&lt;&gt;"All India",INDEX(tg_nat,MATCH($A19,tg_key,0))="Yes"),"–",INDEX(tg_target,MATCH($A19,tg_key,0))))</f>
        <v>7600</v>
      </c>
      <c r="H19" s="37" t="str">
        <f>IF(OR(INDEX(tg_dir,MATCH($A19,tg_key,0))="Info",G19="–"),"Info",IF(INDEX(tg_dir,MATCH($A19,tg_key,0))="Higher",IF(C19&gt;=G19,"Green",IF(C19&gt;=G19*(1-amber_band),"Amber","Red")),IF(C19&lt;=G19,"Green",IF(C19&lt;=G19*(1+amber_band),"Amber","Red"))))</f>
        <v>Amber</v>
      </c>
      <c r="I19" s="38" t="str">
        <f>INDEX(tg_owner,MATCH($A19,tg_key,0))</f>
        <v>Supply</v>
      </c>
      <c r="K19" s="31" t="str">
        <f>INDEX(tg_good,MATCH($A19,tg_key,0))</f>
        <v>Up</v>
      </c>
      <c r="M19" s="29" t="inlineStr">
        <is>
          <t>Sum of stars</t>
        </is>
      </c>
      <c r="N19" s="30">
        <f>IF(sel_scope="All India",SUMIFS(d_rs,d_week,sel_week),SUMIFS(d_rs,d_week,sel_week,d_city,sel_scope))</f>
        <v>208360</v>
      </c>
      <c r="O19" s="30">
        <f>IF(sel_scope="All India",SUMIFS(d_rs,d_week,sel_week-1),SUMIFS(d_rs,d_week,sel_week-1,d_city,sel_scope))</f>
        <v>210124</v>
      </c>
      <c r="P19" s="30">
        <f>IF(sel_scope="All India",SUMIFS(d_rs,d_week,"&gt;="&amp;(sel_week-3),d_week,"&lt;="&amp;sel_week),SUMIFS(d_rs,d_week,"&gt;="&amp;(sel_week-3),d_week,"&lt;="&amp;sel_week,d_city,sel_scope))</f>
        <v>833644</v>
      </c>
    </row>
    <row r="20">
      <c r="A20" s="31" t="inlineStr">
        <is>
          <t>cert</t>
        </is>
      </c>
      <c r="B20" s="39" t="inlineStr">
        <is>
          <t>New partners certified</t>
        </is>
      </c>
      <c r="C20" s="40">
        <f>tw_cert/1</f>
        <v>210</v>
      </c>
      <c r="D20" s="41">
        <f>lw_cert/1</f>
        <v>185</v>
      </c>
      <c r="E20" s="42">
        <f>C20/D20-1</f>
        <v>0.135135135135135</v>
      </c>
      <c r="F20" s="41">
        <f>l4_cert/4</f>
        <v>191.5</v>
      </c>
      <c r="G20" s="43">
        <f>IF(INDEX(tg_dir,MATCH($A20,tg_key,0))="Info","–",IF(AND(sel_scope&lt;&gt;"All India",INDEX(tg_nat,MATCH($A20,tg_key,0))="Yes"),"–",INDEX(tg_target,MATCH($A20,tg_key,0))))</f>
        <v>200</v>
      </c>
      <c r="H20" s="37" t="str">
        <f>IF(OR(INDEX(tg_dir,MATCH($A20,tg_key,0))="Info",G20="–"),"Info",IF(INDEX(tg_dir,MATCH($A20,tg_key,0))="Higher",IF(C20&gt;=G20,"Green",IF(C20&gt;=G20*(1-amber_band),"Amber","Red")),IF(C20&lt;=G20,"Green",IF(C20&lt;=G20*(1+amber_band),"Amber","Red"))))</f>
        <v>Green</v>
      </c>
      <c r="I20" s="38" t="str">
        <f>INDEX(tg_owner,MATCH($A20,tg_key,0))</f>
        <v>Training &amp; QA</v>
      </c>
      <c r="K20" s="31" t="str">
        <f>INDEX(tg_good,MATCH($A20,tg_key,0))</f>
        <v>Up</v>
      </c>
      <c r="M20" s="29" t="inlineStr">
        <is>
          <t>Ratings below 4★</t>
        </is>
      </c>
      <c r="N20" s="30">
        <f>IF(sel_scope="All India",SUMIFS(d_low,d_week,sel_week),SUMIFS(d_low,d_week,sel_week,d_city,sel_scope))</f>
        <v>1236</v>
      </c>
      <c r="O20" s="30">
        <f>IF(sel_scope="All India",SUMIFS(d_low,d_week,sel_week-1),SUMIFS(d_low,d_week,sel_week-1,d_city,sel_scope))</f>
        <v>1064</v>
      </c>
      <c r="P20" s="30">
        <f>IF(sel_scope="All India",SUMIFS(d_low,d_week,"&gt;="&amp;(sel_week-3),d_week,"&lt;="&amp;sel_week),SUMIFS(d_low,d_week,"&gt;="&amp;(sel_week-3),d_week,"&lt;="&amp;sel_week,d_city,sel_scope))</f>
        <v>4358</v>
      </c>
    </row>
    <row r="21">
      <c r="A21" s="31" t="inlineStr">
        <is>
          <t>ret</t>
        </is>
      </c>
      <c r="B21" s="39" t="inlineStr">
        <is>
          <t>90-day retention (cohort)</t>
        </is>
      </c>
      <c r="C21" s="44">
        <f>tw_coha/tw_coh</f>
        <v>0.638461538461538</v>
      </c>
      <c r="D21" s="45">
        <f>lw_coha/lw_coh</f>
        <v>0.629032258064516</v>
      </c>
      <c r="E21" s="35">
        <f>(C21-D21)*100</f>
        <v>0.942928039702229</v>
      </c>
      <c r="F21" s="45">
        <f>l4_coha/l4_coh</f>
        <v>0.629224652087475</v>
      </c>
      <c r="G21" s="46">
        <f>IF(INDEX(tg_dir,MATCH($A21,tg_key,0))="Info","–",IF(AND(sel_scope&lt;&gt;"All India",INDEX(tg_nat,MATCH($A21,tg_key,0))="Yes"),"–",INDEX(tg_target,MATCH($A21,tg_key,0))))</f>
        <v>0.7</v>
      </c>
      <c r="H21" s="37" t="str">
        <f>IF(OR(INDEX(tg_dir,MATCH($A21,tg_key,0))="Info",G21="–"),"Info",IF(INDEX(tg_dir,MATCH($A21,tg_key,0))="Higher",IF(C21&gt;=G21,"Green",IF(C21&gt;=G21*(1-amber_band),"Amber","Red")),IF(C21&lt;=G21,"Green",IF(C21&lt;=G21*(1+amber_band),"Amber","Red"))))</f>
        <v>Red</v>
      </c>
      <c r="I21" s="38" t="str">
        <f>INDEX(tg_owner,MATCH($A21,tg_key,0))</f>
        <v>Supply</v>
      </c>
      <c r="K21" s="31" t="str">
        <f>INDEX(tg_good,MATCH($A21,tg_key,0))</f>
        <v>Up</v>
      </c>
      <c r="M21" s="29" t="inlineStr">
        <is>
          <t>Active partners</t>
        </is>
      </c>
      <c r="N21" s="30">
        <f>IF(sel_scope="All India",SUMIFS(d_act,d_week,sel_week),SUMIFS(d_act,d_week,sel_week,d_city,sel_scope))</f>
        <v>7480</v>
      </c>
      <c r="O21" s="30">
        <f>IF(sel_scope="All India",SUMIFS(d_act,d_week,sel_week-1),SUMIFS(d_act,d_week,sel_week-1,d_city,sel_scope))</f>
        <v>7420</v>
      </c>
      <c r="P21" s="30">
        <f>IF(sel_scope="All India",SUMIFS(d_act,d_week,"&gt;="&amp;(sel_week-3),d_week,"&lt;="&amp;sel_week),SUMIFS(d_act,d_week,"&gt;="&amp;(sel_week-3),d_week,"&lt;="&amp;sel_week,d_city,sel_scope))</f>
        <v>29620</v>
      </c>
    </row>
    <row r="22">
      <c r="B22" s="27" t="inlineStr">
        <is>
          <t>Productivity</t>
        </is>
      </c>
      <c r="C22" s="28" t="n"/>
      <c r="D22" s="28" t="n"/>
      <c r="E22" s="28" t="n"/>
      <c r="F22" s="28" t="n"/>
      <c r="G22" s="28" t="n"/>
      <c r="H22" s="28" t="n"/>
      <c r="I22" s="28" t="n"/>
      <c r="M22" s="29" t="inlineStr">
        <is>
          <t>New partners certified</t>
        </is>
      </c>
      <c r="N22" s="30">
        <f>IF(sel_scope="All India",SUMIFS(d_cert,d_week,sel_week),SUMIFS(d_cert,d_week,sel_week,d_city,sel_scope))</f>
        <v>210</v>
      </c>
      <c r="O22" s="30">
        <f>IF(sel_scope="All India",SUMIFS(d_cert,d_week,sel_week-1),SUMIFS(d_cert,d_week,sel_week-1,d_city,sel_scope))</f>
        <v>185</v>
      </c>
      <c r="P22" s="30">
        <f>IF(sel_scope="All India",SUMIFS(d_cert,d_week,"&gt;="&amp;(sel_week-3),d_week,"&lt;="&amp;sel_week),SUMIFS(d_cert,d_week,"&gt;="&amp;(sel_week-3),d_week,"&lt;="&amp;sel_week,d_city,sel_scope))</f>
        <v>766</v>
      </c>
    </row>
    <row r="23">
      <c r="A23" s="31" t="inlineStr">
        <is>
          <t>jppd</t>
        </is>
      </c>
      <c r="B23" s="39" t="inlineStr">
        <is>
          <t>Jobs per active partner per day</t>
        </is>
      </c>
      <c r="C23" s="47">
        <f>tw_comp/(tw_act*6)</f>
        <v>1.58645276292335</v>
      </c>
      <c r="D23" s="48">
        <f>lw_comp/(lw_act*6)</f>
        <v>1.60601976639713</v>
      </c>
      <c r="E23" s="49">
        <f>C23-D23</f>
        <v>-0.0195670034737738</v>
      </c>
      <c r="F23" s="48">
        <f>l4_comp/(l4_act*6)</f>
        <v>1.5991278415485</v>
      </c>
      <c r="G23" s="50">
        <f>IF(INDEX(tg_dir,MATCH($A23,tg_key,0))="Info","–",IF(AND(sel_scope&lt;&gt;"All India",INDEX(tg_nat,MATCH($A23,tg_key,0))="Yes"),"–",INDEX(tg_target,MATCH($A23,tg_key,0))))</f>
        <v>1.65</v>
      </c>
      <c r="H23" s="37" t="str">
        <f>IF(OR(INDEX(tg_dir,MATCH($A23,tg_key,0))="Info",G23="–"),"Info",IF(INDEX(tg_dir,MATCH($A23,tg_key,0))="Higher",IF(C23&gt;=G23,"Green",IF(C23&gt;=G23*(1-amber_band),"Amber","Red")),IF(C23&lt;=G23,"Green",IF(C23&lt;=G23*(1+amber_band),"Amber","Red"))))</f>
        <v>Amber</v>
      </c>
      <c r="I23" s="38" t="str">
        <f>INDEX(tg_owner,MATCH($A23,tg_key,0))</f>
        <v>City Ops</v>
      </c>
      <c r="K23" s="31" t="str">
        <f>INDEX(tg_good,MATCH($A23,tg_key,0))</f>
        <v>Up</v>
      </c>
      <c r="M23" s="29" t="inlineStr">
        <is>
          <t>Partners with kit stock-out</t>
        </is>
      </c>
      <c r="N23" s="30">
        <f>IF(sel_scope="All India",SUMIFS(d_stock,d_week,sel_week),SUMIFS(d_stock,d_week,sel_week,d_city,sel_scope))</f>
        <v>239</v>
      </c>
      <c r="O23" s="30">
        <f>IF(sel_scope="All India",SUMIFS(d_stock,d_week,sel_week-1),SUMIFS(d_stock,d_week,sel_week-1,d_city,sel_scope))</f>
        <v>156</v>
      </c>
      <c r="P23" s="30">
        <f>IF(sel_scope="All India",SUMIFS(d_stock,d_week,"&gt;="&amp;(sel_week-3),d_week,"&lt;="&amp;sel_week),SUMIFS(d_stock,d_week,"&gt;="&amp;(sel_week-3),d_week,"&lt;="&amp;sel_week,d_city,sel_scope))</f>
        <v>696</v>
      </c>
    </row>
    <row r="24">
      <c r="B24" s="27" t="inlineStr">
        <is>
          <t>Quality</t>
        </is>
      </c>
      <c r="C24" s="28" t="n"/>
      <c r="D24" s="28" t="n"/>
      <c r="E24" s="28" t="n"/>
      <c r="F24" s="28" t="n"/>
      <c r="G24" s="28" t="n"/>
      <c r="H24" s="28" t="n"/>
      <c r="I24" s="28" t="n"/>
      <c r="M24" s="29" t="inlineStr">
        <is>
          <t>Cohort size (joined 13 wks ago)</t>
        </is>
      </c>
      <c r="N24" s="30">
        <f>IF(sel_scope="All India",SUMIFS(d_coh,d_week,sel_week),SUMIFS(d_coh,d_week,sel_week,d_city,sel_scope))</f>
        <v>260</v>
      </c>
      <c r="O24" s="30">
        <f>IF(sel_scope="All India",SUMIFS(d_coh,d_week,sel_week-1),SUMIFS(d_coh,d_week,sel_week-1,d_city,sel_scope))</f>
        <v>248</v>
      </c>
      <c r="P24" s="30">
        <f>IF(sel_scope="All India",SUMIFS(d_coh,d_week,"&gt;="&amp;(sel_week-3),d_week,"&lt;="&amp;sel_week),SUMIFS(d_coh,d_week,"&gt;="&amp;(sel_week-3),d_week,"&lt;="&amp;sel_week,d_city,sel_scope))</f>
        <v>1006</v>
      </c>
    </row>
    <row r="25">
      <c r="A25" s="31" t="inlineStr">
        <is>
          <t>rating</t>
        </is>
      </c>
      <c r="B25" s="39" t="inlineStr">
        <is>
          <t>Average rating</t>
        </is>
      </c>
      <c r="C25" s="47">
        <f>tw_rs/tw_rc</f>
        <v>4.72000724900326</v>
      </c>
      <c r="D25" s="48">
        <f>lw_rs/lw_rc</f>
        <v>4.73999548838259</v>
      </c>
      <c r="E25" s="49">
        <f>C25-D25</f>
        <v>-0.0199882393793231</v>
      </c>
      <c r="F25" s="48">
        <f>l4_rs/l4_rc</f>
        <v>4.73494564414808</v>
      </c>
      <c r="G25" s="50">
        <f>IF(INDEX(tg_dir,MATCH($A25,tg_key,0))="Info","–",IF(AND(sel_scope&lt;&gt;"All India",INDEX(tg_nat,MATCH($A25,tg_key,0))="Yes"),"–",INDEX(tg_target,MATCH($A25,tg_key,0))))</f>
        <v>4.7</v>
      </c>
      <c r="H25" s="37" t="str">
        <f>IF(OR(INDEX(tg_dir,MATCH($A25,tg_key,0))="Info",G25="–"),"Info",IF(INDEX(tg_dir,MATCH($A25,tg_key,0))="Higher",IF(C25&gt;=G25,"Green",IF(C25&gt;=G25*(1-amber_band),"Amber","Red")),IF(C25&lt;=G25,"Green",IF(C25&lt;=G25*(1+amber_band),"Amber","Red"))))</f>
        <v>Green</v>
      </c>
      <c r="I25" s="38" t="str">
        <f>INDEX(tg_owner,MATCH($A25,tg_key,0))</f>
        <v>Training &amp; QA</v>
      </c>
      <c r="K25" s="31" t="str">
        <f>INDEX(tg_good,MATCH($A25,tg_key,0))</f>
        <v>Up</v>
      </c>
      <c r="M25" s="29" t="inlineStr">
        <is>
          <t>Cohort still active</t>
        </is>
      </c>
      <c r="N25" s="30">
        <f>IF(sel_scope="All India",SUMIFS(d_coha,d_week,sel_week),SUMIFS(d_coha,d_week,sel_week,d_city,sel_scope))</f>
        <v>166</v>
      </c>
      <c r="O25" s="30">
        <f>IF(sel_scope="All India",SUMIFS(d_coha,d_week,sel_week-1),SUMIFS(d_coha,d_week,sel_week-1,d_city,sel_scope))</f>
        <v>156</v>
      </c>
      <c r="P25" s="30">
        <f>IF(sel_scope="All India",SUMIFS(d_coha,d_week,"&gt;="&amp;(sel_week-3),d_week,"&lt;="&amp;sel_week),SUMIFS(d_coha,d_week,"&gt;="&amp;(sel_week-3),d_week,"&lt;="&amp;sel_week,d_city,sel_scope))</f>
        <v>633</v>
      </c>
    </row>
    <row r="26">
      <c r="A26" s="31" t="inlineStr">
        <is>
          <t>cpk</t>
        </is>
      </c>
      <c r="B26" s="39" t="inlineStr">
        <is>
          <t>Complaints per 1,000 jobs</t>
        </is>
      </c>
      <c r="C26" s="51">
        <f>tw_cpl/tw_comp*1000</f>
        <v>9.80337078651685</v>
      </c>
      <c r="D26" s="52">
        <f>lw_cpl/lw_comp*1000</f>
        <v>8.0979020979021</v>
      </c>
      <c r="E26" s="53">
        <f>C26-D26</f>
        <v>1.70546868861476</v>
      </c>
      <c r="F26" s="52">
        <f>l4_cpl/l4_comp*1000</f>
        <v>8.42725292666707</v>
      </c>
      <c r="G26" s="54">
        <f>IF(INDEX(tg_dir,MATCH($A26,tg_key,0))="Info","–",IF(AND(sel_scope&lt;&gt;"All India",INDEX(tg_nat,MATCH($A26,tg_key,0))="Yes"),"–",INDEX(tg_target,MATCH($A26,tg_key,0))))</f>
        <v>8</v>
      </c>
      <c r="H26" s="37" t="str">
        <f>IF(OR(INDEX(tg_dir,MATCH($A26,tg_key,0))="Info",G26="–"),"Info",IF(INDEX(tg_dir,MATCH($A26,tg_key,0))="Higher",IF(C26&gt;=G26,"Green",IF(C26&gt;=G26*(1-amber_band),"Amber","Red")),IF(C26&lt;=G26,"Green",IF(C26&lt;=G26*(1+amber_band),"Amber","Red"))))</f>
        <v>Red</v>
      </c>
      <c r="I26" s="38" t="str">
        <f>INDEX(tg_owner,MATCH($A26,tg_key,0))</f>
        <v>CX</v>
      </c>
      <c r="K26" s="31" t="str">
        <f>INDEX(tg_good,MATCH($A26,tg_key,0))</f>
        <v>Down</v>
      </c>
      <c r="M26" s="29" t="inlineStr">
        <is>
          <t>GMV (₹)</t>
        </is>
      </c>
      <c r="N26" s="30">
        <f>IF(sel_scope="All India",SUMIFS(d_gmv,d_week,sel_week),SUMIFS(d_gmv,d_week,sel_week,d_city,sel_scope))</f>
        <v>95798200</v>
      </c>
      <c r="O26" s="30">
        <f>IF(sel_scope="All India",SUMIFS(d_gmv,d_week,sel_week-1),SUMIFS(d_gmv,d_week,sel_week-1,d_city,sel_scope))</f>
        <v>96310740</v>
      </c>
      <c r="P26" s="30">
        <f>IF(sel_scope="All India",SUMIFS(d_gmv,d_week,"&gt;="&amp;(sel_week-3),d_week,"&lt;="&amp;sel_week),SUMIFS(d_gmv,d_week,"&gt;="&amp;(sel_week-3),d_week,"&lt;="&amp;sel_week,d_city,sel_scope))</f>
        <v>382786390</v>
      </c>
    </row>
    <row r="27">
      <c r="A27" s="31" t="inlineStr">
        <is>
          <t>redo</t>
        </is>
      </c>
      <c r="B27" s="39" t="inlineStr">
        <is>
          <t>Redo / refund rate</t>
        </is>
      </c>
      <c r="C27" s="33">
        <f>tw_redo/tw_comp</f>
        <v>0.010997191011236</v>
      </c>
      <c r="D27" s="34">
        <f>lw_redo/lw_comp</f>
        <v>0.01</v>
      </c>
      <c r="E27" s="35">
        <f>(C27-D27)*100</f>
        <v>0.0997191011235955</v>
      </c>
      <c r="F27" s="34">
        <f>l4_redo/l4_comp</f>
        <v>0.0102499322652948</v>
      </c>
      <c r="G27" s="36">
        <f>IF(INDEX(tg_dir,MATCH($A27,tg_key,0))="Info","–",IF(AND(sel_scope&lt;&gt;"All India",INDEX(tg_nat,MATCH($A27,tg_key,0))="Yes"),"–",INDEX(tg_target,MATCH($A27,tg_key,0))))</f>
        <v>0.012</v>
      </c>
      <c r="H27" s="37" t="str">
        <f>IF(OR(INDEX(tg_dir,MATCH($A27,tg_key,0))="Info",G27="–"),"Info",IF(INDEX(tg_dir,MATCH($A27,tg_key,0))="Higher",IF(C27&gt;=G27,"Green",IF(C27&gt;=G27*(1-amber_band),"Amber","Red")),IF(C27&lt;=G27,"Green",IF(C27&lt;=G27*(1+amber_band),"Amber","Red"))))</f>
        <v>Green</v>
      </c>
      <c r="I27" s="38" t="str">
        <f>INDEX(tg_owner,MATCH($A27,tg_key,0))</f>
        <v>CX</v>
      </c>
      <c r="K27" s="31" t="str">
        <f>INDEX(tg_good,MATCH($A27,tg_key,0))</f>
        <v>Down</v>
      </c>
    </row>
    <row r="28">
      <c r="B28" s="27" t="inlineStr">
        <is>
          <t>Kits</t>
        </is>
      </c>
      <c r="C28" s="28" t="n"/>
      <c r="D28" s="28" t="n"/>
      <c r="E28" s="28" t="n"/>
      <c r="F28" s="28" t="n"/>
      <c r="G28" s="28" t="n"/>
      <c r="H28" s="28" t="n"/>
      <c r="I28" s="28" t="n"/>
    </row>
    <row r="29">
      <c r="A29" s="31" t="inlineStr">
        <is>
          <t>kit</t>
        </is>
      </c>
      <c r="B29" s="39" t="inlineStr">
        <is>
          <t>Partners with a kit stock-out</t>
        </is>
      </c>
      <c r="C29" s="33">
        <f>tw_stock/tw_act</f>
        <v>0.031951871657754</v>
      </c>
      <c r="D29" s="34">
        <f>lw_stock/lw_act</f>
        <v>0.0210242587601078</v>
      </c>
      <c r="E29" s="35">
        <f>(C29-D29)*100</f>
        <v>1.09276128976462</v>
      </c>
      <c r="F29" s="34">
        <f>l4_stock/l4_act</f>
        <v>0.0234976367319379</v>
      </c>
      <c r="G29" s="36">
        <f>IF(INDEX(tg_dir,MATCH($A29,tg_key,0))="Info","–",IF(AND(sel_scope&lt;&gt;"All India",INDEX(tg_nat,MATCH($A29,tg_key,0))="Yes"),"–",INDEX(tg_target,MATCH($A29,tg_key,0))))</f>
        <v>0.02</v>
      </c>
      <c r="H29" s="37" t="str">
        <f>IF(OR(INDEX(tg_dir,MATCH($A29,tg_key,0))="Info",G29="–"),"Info",IF(INDEX(tg_dir,MATCH($A29,tg_key,0))="Higher",IF(C29&gt;=G29,"Green",IF(C29&gt;=G29*(1-amber_band),"Amber","Red")),IF(C29&lt;=G29,"Green",IF(C29&lt;=G29*(1+amber_band),"Amber","Red"))))</f>
        <v>Red</v>
      </c>
      <c r="I29" s="38" t="str">
        <f>INDEX(tg_owner,MATCH($A29,tg_key,0))</f>
        <v>Inventory</v>
      </c>
      <c r="K29" s="31" t="str">
        <f>INDEX(tg_good,MATCH($A29,tg_key,0))</f>
        <v>Down</v>
      </c>
    </row>
    <row r="31">
      <c r="B31" s="21" t="inlineStr">
        <is>
          <t>Status count (excluding the North Star)</t>
        </is>
      </c>
      <c r="C31" s="55" t="inlineStr">
        <is>
          <t>Green</t>
        </is>
      </c>
      <c r="D31" s="55" t="inlineStr">
        <is>
          <t>Amber</t>
        </is>
      </c>
      <c r="E31" s="55" t="inlineStr">
        <is>
          <t>Red</t>
        </is>
      </c>
      <c r="F31" s="55" t="inlineStr">
        <is>
          <t>Info</t>
        </is>
      </c>
    </row>
    <row r="32">
      <c r="C32" s="56">
        <f>COUNTIF($H$12:$H$29,"Green")</f>
        <v>4</v>
      </c>
      <c r="D32" s="56">
        <f>COUNTIF($H$12:$H$29,"Amber")</f>
        <v>4</v>
      </c>
      <c r="E32" s="56">
        <f>COUNTIF($H$12:$H$29,"Red")</f>
        <v>4</v>
      </c>
      <c r="F32" s="56">
        <f>COUNTIF($H$12:$H$29,"Info")</f>
        <v>2</v>
      </c>
    </row>
    <row r="34">
      <c r="B34" s="57" t="inlineStr">
        <is>
          <t>Commentary, Week 42 (written for W42; the numbers above recalculate for any week)</t>
        </is>
      </c>
    </row>
    <row r="35">
      <c r="B35" s="58" t="inlineStr">
        <is>
          <t>Top 3 issues</t>
        </is>
      </c>
      <c r="C35" s="59" t="n"/>
      <c r="D35" s="59" t="n"/>
      <c r="E35" s="59" t="n"/>
      <c r="F35" s="59" t="n"/>
      <c r="G35" s="59" t="n"/>
      <c r="H35" s="59" t="n"/>
      <c r="I35" s="59" t="n"/>
    </row>
    <row r="36">
      <c r="B36" s="9" t="inlineStr">
        <is>
          <t>1. Complaints rose to 9.8 per 1,000. Mostly waxing, in GGN-2 and GGN-4. Retrain 41 flagged partners and QC the wax batch. CX with Training &amp; QA, due Thu 22 Oct.</t>
        </is>
      </c>
    </row>
    <row r="37">
      <c r="B37" s="9" t="inlineStr">
        <is>
          <t>2. Partner cancellations rose to 1.6%, in step with kit stock-outs (3.2%). Refill the top 5 items at hubs. Inventory, was due 16 Oct, now 3 days late.</t>
        </is>
      </c>
    </row>
    <row r="38">
      <c r="B38" s="9" t="inlineStr">
        <is>
          <t>3. Fill rate fell to 91.6%, weakest on weekend evenings in Mumbai and Bengaluru. Weekend shift incentive in 3 hubs. City Ops, due Fri 23 Oct.</t>
        </is>
      </c>
    </row>
    <row r="40">
      <c r="B40" s="58" t="inlineStr">
        <is>
          <t>Wins</t>
        </is>
      </c>
      <c r="C40" s="59" t="n"/>
      <c r="D40" s="59" t="n"/>
      <c r="E40" s="59" t="n"/>
      <c r="F40" s="59" t="n"/>
      <c r="G40" s="59" t="n"/>
      <c r="H40" s="59" t="n"/>
      <c r="I40" s="59" t="n"/>
    </row>
    <row r="41">
      <c r="B41" s="9" t="inlineStr">
        <is>
          <t>210 partners certified, above the 200 target. Best week in 12.</t>
        </is>
      </c>
    </row>
    <row r="42">
      <c r="B42" s="9" t="inlineStr">
        <is>
          <t>Average rating held at 4.72, above 4.70, despite the complaint spike.</t>
        </is>
      </c>
    </row>
    <row r="43">
      <c r="B43" s="9" t="inlineStr">
        <is>
          <t>Customer cancellations stayed under 3% with 1.9% more requests.</t>
        </is>
      </c>
    </row>
    <row r="45">
      <c r="B45" s="58" t="inlineStr">
        <is>
          <t>Decisions needed from the VP</t>
        </is>
      </c>
      <c r="C45" s="59" t="n"/>
      <c r="D45" s="59" t="n"/>
      <c r="E45" s="59" t="n"/>
      <c r="F45" s="59" t="n"/>
      <c r="G45" s="59" t="n"/>
      <c r="H45" s="59" t="n"/>
      <c r="I45" s="59" t="n"/>
    </row>
    <row r="46">
      <c r="B46" s="9" t="inlineStr">
        <is>
          <t>1. Approve the weekend-evening incentive pilot in MUM-2, MUM-4 and BLR-1 for 2 weekends.</t>
        </is>
      </c>
    </row>
    <row r="47">
      <c r="B47" s="9" t="inlineStr">
        <is>
          <t>2. Approve 5 days of buffer kit stock per hub, so reorders trigger automatically.</t>
        </is>
      </c>
    </row>
    <row r="48">
      <c r="B48" s="9" t="inlineStr">
        <is>
          <t>3. Sign off the metric dictionary, so all 5 teams report one fill rate.</t>
        </is>
      </c>
    </row>
  </sheetData>
  <sheetProtection selectLockedCells="0" selectUnlockedCells="0" sheet="1" objects="0" insertRows="1" insertHyperlinks="1" autoFilter="1" scenarios="0" formatColumns="0" deleteColumns="1" insertColumns="1" pivotTables="1" deleteRows="1" formatCells="0" formatRows="0" sort="1"/>
  <mergeCells count="1">
    <mergeCell ref="C4"/>
  </mergeCells>
  <conditionalFormatting sqref="H9:H29">
    <cfRule type="expression" priority="1" dxfId="0">
      <formula>H9="Green"</formula>
    </cfRule>
    <cfRule type="expression" priority="2" dxfId="1">
      <formula>H9="Amber"</formula>
    </cfRule>
    <cfRule type="expression" priority="3" dxfId="2">
      <formula>H9="Red"</formula>
    </cfRule>
    <cfRule type="expression" priority="4" dxfId="3">
      <formula>H9="Info"</formula>
    </cfRule>
  </conditionalFormatting>
  <conditionalFormatting sqref="E9:E29">
    <cfRule type="expression" priority="5" dxfId="4">
      <formula>OR(AND($K9="Up",E9&gt;0),AND($K9="Down",E9&lt;0))</formula>
    </cfRule>
    <cfRule type="expression" priority="6" dxfId="5">
      <formula>OR(AND($K9="Up",E9&lt;0),AND($K9="Down",E9&gt;0))</formula>
    </cfRule>
  </conditionalFormatting>
  <conditionalFormatting sqref="C31:F31">
    <cfRule type="expression" priority="7" dxfId="0">
      <formula>C31="Green"</formula>
    </cfRule>
    <cfRule type="expression" priority="8" dxfId="1">
      <formula>C31="Amber"</formula>
    </cfRule>
    <cfRule type="expression" priority="9" dxfId="2">
      <formula>C31="Red"</formula>
    </cfRule>
    <cfRule type="expression" priority="10" dxfId="3">
      <formula>C31="Info"</formula>
    </cfRule>
  </conditionalFormatting>
  <dataValidations count="2">
    <dataValidation sqref="C4" showDropDown="0" showInputMessage="0" showErrorMessage="0" allowBlank="0" errorTitle="Week" error="Pick a week between 34 and 42" type="list">
      <formula1>=Lists!$A$2:$A$10</formula1>
    </dataValidation>
    <dataValidation sqref="C5" showDropDown="0" showInputMessage="0" showErrorMessage="0" allowBlank="0" type="list">
      <formula1>=Lists!$B$2:$B$10</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2A78D6"/>
    <outlinePr summaryBelow="1" summaryRight="1"/>
    <pageSetUpPr fitToPage="1"/>
  </sheetPr>
  <dimension ref="A1:O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11" customWidth="1" min="3" max="3"/>
    <col width="11" customWidth="1" min="4" max="4"/>
    <col width="11" customWidth="1" min="5" max="5"/>
    <col width="14" customWidth="1" min="6" max="6"/>
    <col width="13" customWidth="1" min="7" max="7"/>
    <col width="11" customWidth="1" min="8" max="8"/>
    <col width="9" customWidth="1" min="9" max="9"/>
    <col width="9" customWidth="1" min="10" max="10"/>
    <col width="9" customWidth="1" min="11" max="11"/>
    <col width="11" customWidth="1" min="12" max="12"/>
    <col width="9" customWidth="1" min="13" max="13"/>
    <col width="11" customWidth="1" min="14" max="14"/>
    <col width="12" customWidth="1" min="15" max="15"/>
  </cols>
  <sheetData>
    <row r="1" ht="26" customHeight="1">
      <c r="B1" s="20" t="inlineStr">
        <is>
          <t>North Star · Perfect bookings</t>
        </is>
      </c>
    </row>
    <row r="2">
      <c r="B2" s="19" t="inlineStr">
        <is>
          <t>Perfect booking = completed, started within 15 min of the slot, no complaint, no redo or refund, rated 4★+ or not rated.</t>
        </is>
      </c>
    </row>
    <row r="4" ht="30" customHeight="1">
      <c r="A4" s="60" t="inlineStr">
        <is>
          <t>Week</t>
        </is>
      </c>
      <c r="B4" s="26" t="inlineStr">
        <is>
          <t>Label</t>
        </is>
      </c>
      <c r="C4" s="26" t="inlineStr">
        <is>
          <t>Requests</t>
        </is>
      </c>
      <c r="D4" s="26" t="inlineStr">
        <is>
          <t>Assigned</t>
        </is>
      </c>
      <c r="E4" s="26" t="inlineStr">
        <is>
          <t>Completed</t>
        </is>
      </c>
      <c r="F4" s="26" t="inlineStr">
        <is>
          <t>Started on time</t>
        </is>
      </c>
      <c r="G4" s="26" t="inlineStr">
        <is>
          <t>Perfect bookings</t>
        </is>
      </c>
      <c r="H4" s="26" t="inlineStr">
        <is>
          <t>Perfect rate</t>
        </is>
      </c>
      <c r="I4" s="26" t="inlineStr">
        <is>
          <t>Target</t>
        </is>
      </c>
      <c r="J4" s="26" t="inlineStr">
        <is>
          <t>Status</t>
        </is>
      </c>
      <c r="K4" s="26" t="inlineStr">
        <is>
          <t>Fill rate</t>
        </is>
      </c>
      <c r="L4" s="26" t="inlineStr">
        <is>
          <t>Completion</t>
        </is>
      </c>
      <c r="M4" s="26" t="inlineStr">
        <is>
          <t>On-time</t>
        </is>
      </c>
      <c r="N4" s="26" t="inlineStr">
        <is>
          <t>Quality pass</t>
        </is>
      </c>
      <c r="O4" s="26" t="inlineStr">
        <is>
          <t>Check: product = rate</t>
        </is>
      </c>
    </row>
    <row r="5">
      <c r="A5" s="61" t="n">
        <v>31</v>
      </c>
      <c r="B5" s="62" t="str">
        <f>"W"&amp;A5</f>
        <v>W31</v>
      </c>
      <c r="C5" s="63">
        <f>SUMIFS(d_req,d_week,$A5)</f>
        <v>72600</v>
      </c>
      <c r="D5" s="63">
        <f>SUMIFS(d_asg,d_week,$A5)</f>
        <v>68317</v>
      </c>
      <c r="E5" s="63">
        <f>SUMIFS(d_comp,d_week,$A5)</f>
        <v>65790</v>
      </c>
      <c r="F5" s="63">
        <f>SUMIFS(d_ot,d_week,$A5)</f>
        <v>59474</v>
      </c>
      <c r="G5" s="63">
        <f>SUMIFS(d_perf,d_week,$A5)</f>
        <v>57946</v>
      </c>
      <c r="H5" s="64">
        <f>G5/C5</f>
        <v>0.798154269972452</v>
      </c>
      <c r="I5" s="65">
        <f>t_nsm</f>
        <v>0.77</v>
      </c>
      <c r="J5" s="55" t="str">
        <f>IF(H5&gt;=I5,"Green",IF(H5&gt;=I5*(1-amber_band),"Amber","Red"))</f>
        <v>Green</v>
      </c>
      <c r="K5" s="66">
        <f>D5/C5</f>
        <v>0.941005509641873</v>
      </c>
      <c r="L5" s="66">
        <f>E5/D5</f>
        <v>0.963010670843275</v>
      </c>
      <c r="M5" s="66">
        <f>F5/E5</f>
        <v>0.903997568019456</v>
      </c>
      <c r="N5" s="66">
        <f>G5/F5</f>
        <v>0.974308101018933</v>
      </c>
      <c r="O5" s="67" t="b">
        <f>ROUND(K5*L5*M5*N5-H5,9)=0</f>
        <v>1</v>
      </c>
    </row>
    <row r="6">
      <c r="A6" s="61" t="n">
        <v>32</v>
      </c>
      <c r="B6" s="62" t="str">
        <f>"W"&amp;A6</f>
        <v>W32</v>
      </c>
      <c r="C6" s="63">
        <f>SUMIFS(d_req,d_week,$A6)</f>
        <v>73100</v>
      </c>
      <c r="D6" s="63">
        <f>SUMIFS(d_asg,d_week,$A6)</f>
        <v>69006</v>
      </c>
      <c r="E6" s="63">
        <f>SUMIFS(d_comp,d_week,$A6)</f>
        <v>66315</v>
      </c>
      <c r="F6" s="63">
        <f>SUMIFS(d_ot,d_week,$A6)</f>
        <v>59750</v>
      </c>
      <c r="G6" s="63">
        <f>SUMIFS(d_perf,d_week,$A6)</f>
        <v>58123</v>
      </c>
      <c r="H6" s="64">
        <f>G6/C6</f>
        <v>0.795116279069768</v>
      </c>
      <c r="I6" s="65">
        <f>t_nsm</f>
        <v>0.77</v>
      </c>
      <c r="J6" s="55" t="str">
        <f>IF(H6&gt;=I6,"Green",IF(H6&gt;=I6*(1-amber_band),"Amber","Red"))</f>
        <v>Green</v>
      </c>
      <c r="K6" s="66">
        <f>D6/C6</f>
        <v>0.943994528043776</v>
      </c>
      <c r="L6" s="66">
        <f>E6/D6</f>
        <v>0.961003391009477</v>
      </c>
      <c r="M6" s="66">
        <f>F6/E6</f>
        <v>0.901002789715751</v>
      </c>
      <c r="N6" s="66">
        <f>G6/F6</f>
        <v>0.972769874476988</v>
      </c>
      <c r="O6" s="67" t="b">
        <f>ROUND(K6*L6*M6*N6-H6,9)=0</f>
        <v>1</v>
      </c>
    </row>
    <row r="7">
      <c r="A7" s="61" t="n">
        <v>33</v>
      </c>
      <c r="B7" s="62" t="str">
        <f>"W"&amp;A7</f>
        <v>W33</v>
      </c>
      <c r="C7" s="63">
        <f>SUMIFS(d_req,d_week,$A7)</f>
        <v>74000</v>
      </c>
      <c r="D7" s="63">
        <f>SUMIFS(d_asg,d_week,$A7)</f>
        <v>69486</v>
      </c>
      <c r="E7" s="63">
        <f>SUMIFS(d_comp,d_week,$A7)</f>
        <v>66985</v>
      </c>
      <c r="F7" s="63">
        <f>SUMIFS(d_ot,d_week,$A7)</f>
        <v>60688</v>
      </c>
      <c r="G7" s="63">
        <f>SUMIFS(d_perf,d_week,$A7)</f>
        <v>59170</v>
      </c>
      <c r="H7" s="64">
        <f>G7/C7</f>
        <v>0.799594594594595</v>
      </c>
      <c r="I7" s="65">
        <f>t_nsm</f>
        <v>0.77</v>
      </c>
      <c r="J7" s="55" t="str">
        <f>IF(H7&gt;=I7,"Green",IF(H7&gt;=I7*(1-amber_band),"Amber","Red"))</f>
        <v>Green</v>
      </c>
      <c r="K7" s="66">
        <f>D7/C7</f>
        <v>0.939</v>
      </c>
      <c r="L7" s="66">
        <f>E7/D7</f>
        <v>0.964007138128544</v>
      </c>
      <c r="M7" s="66">
        <f>F7/E7</f>
        <v>0.905993879226693</v>
      </c>
      <c r="N7" s="66">
        <f>G7/F7</f>
        <v>0.974986817822304</v>
      </c>
      <c r="O7" s="67" t="b">
        <f>ROUND(K7*L7*M7*N7-H7,9)=0</f>
        <v>1</v>
      </c>
    </row>
    <row r="8">
      <c r="A8" s="61" t="n">
        <v>34</v>
      </c>
      <c r="B8" s="62" t="str">
        <f>"W"&amp;A8</f>
        <v>W34</v>
      </c>
      <c r="C8" s="63">
        <f>SUMIFS(d_req,d_week,$A8)</f>
        <v>74500</v>
      </c>
      <c r="D8" s="63">
        <f>SUMIFS(d_asg,d_week,$A8)</f>
        <v>70179</v>
      </c>
      <c r="E8" s="63">
        <f>SUMIFS(d_comp,d_week,$A8)</f>
        <v>67512</v>
      </c>
      <c r="F8" s="63">
        <f>SUMIFS(d_ot,d_week,$A8)</f>
        <v>60896</v>
      </c>
      <c r="G8" s="63">
        <f>SUMIFS(d_perf,d_week,$A8)</f>
        <v>59231</v>
      </c>
      <c r="H8" s="64">
        <f>G8/C8</f>
        <v>0.795046979865772</v>
      </c>
      <c r="I8" s="65">
        <f>t_nsm</f>
        <v>0.77</v>
      </c>
      <c r="J8" s="55" t="str">
        <f>IF(H8&gt;=I8,"Green",IF(H8&gt;=I8*(1-amber_band),"Amber","Red"))</f>
        <v>Green</v>
      </c>
      <c r="K8" s="66">
        <f>D8/C8</f>
        <v>0.942</v>
      </c>
      <c r="L8" s="66">
        <f>E8/D8</f>
        <v>0.961997178643184</v>
      </c>
      <c r="M8" s="66">
        <f>F8/E8</f>
        <v>0.902002606943951</v>
      </c>
      <c r="N8" s="66">
        <f>G8/F8</f>
        <v>0.972658302679979</v>
      </c>
      <c r="O8" s="67" t="b">
        <f>ROUND(K8*L8*M8*N8-H8,9)=0</f>
        <v>1</v>
      </c>
    </row>
    <row r="9">
      <c r="A9" s="61" t="n">
        <v>35</v>
      </c>
      <c r="B9" s="62" t="str">
        <f>"W"&amp;A9</f>
        <v>W35</v>
      </c>
      <c r="C9" s="63">
        <f>SUMIFS(d_req,d_week,$A9)</f>
        <v>75300</v>
      </c>
      <c r="D9" s="63">
        <f>SUMIFS(d_asg,d_week,$A9)</f>
        <v>70782</v>
      </c>
      <c r="E9" s="63">
        <f>SUMIFS(d_comp,d_week,$A9)</f>
        <v>68021</v>
      </c>
      <c r="F9" s="63">
        <f>SUMIFS(d_ot,d_week,$A9)</f>
        <v>61151</v>
      </c>
      <c r="G9" s="63">
        <f>SUMIFS(d_perf,d_week,$A9)</f>
        <v>59442</v>
      </c>
      <c r="H9" s="64">
        <f>G9/C9</f>
        <v>0.789402390438247</v>
      </c>
      <c r="I9" s="65">
        <f>t_nsm</f>
        <v>0.77</v>
      </c>
      <c r="J9" s="55" t="str">
        <f>IF(H9&gt;=I9,"Green",IF(H9&gt;=I9*(1-amber_band),"Amber","Red"))</f>
        <v>Green</v>
      </c>
      <c r="K9" s="66">
        <f>D9/C9</f>
        <v>0.94</v>
      </c>
      <c r="L9" s="66">
        <f>E9/D9</f>
        <v>0.960992907801418</v>
      </c>
      <c r="M9" s="66">
        <f>F9/E9</f>
        <v>0.89900177886241</v>
      </c>
      <c r="N9" s="66">
        <f>G9/F9</f>
        <v>0.972052787362431</v>
      </c>
      <c r="O9" s="67" t="b">
        <f>ROUND(K9*L9*M9*N9-H9,9)=0</f>
        <v>1</v>
      </c>
    </row>
    <row r="10">
      <c r="A10" s="61" t="n">
        <v>36</v>
      </c>
      <c r="B10" s="62" t="str">
        <f>"W"&amp;A10</f>
        <v>W36</v>
      </c>
      <c r="C10" s="63">
        <f>SUMIFS(d_req,d_week,$A10)</f>
        <v>76100</v>
      </c>
      <c r="D10" s="63">
        <f>SUMIFS(d_asg,d_week,$A10)</f>
        <v>71306</v>
      </c>
      <c r="E10" s="63">
        <f>SUMIFS(d_comp,d_week,$A10)</f>
        <v>68596</v>
      </c>
      <c r="F10" s="63">
        <f>SUMIFS(d_ot,d_week,$A10)</f>
        <v>61942</v>
      </c>
      <c r="G10" s="63">
        <f>SUMIFS(d_perf,d_week,$A10)</f>
        <v>60347</v>
      </c>
      <c r="H10" s="64">
        <f>G10/C10</f>
        <v>0.79299605781866</v>
      </c>
      <c r="I10" s="65">
        <f>t_nsm</f>
        <v>0.77</v>
      </c>
      <c r="J10" s="55" t="str">
        <f>IF(H10&gt;=I10,"Green",IF(H10&gt;=I10*(1-amber_band),"Amber","Red"))</f>
        <v>Green</v>
      </c>
      <c r="K10" s="66">
        <f>D10/C10</f>
        <v>0.93700394218134</v>
      </c>
      <c r="L10" s="66">
        <f>E10/D10</f>
        <v>0.96199478304771</v>
      </c>
      <c r="M10" s="66">
        <f>F10/E10</f>
        <v>0.902997259315412</v>
      </c>
      <c r="N10" s="66">
        <f>G10/F10</f>
        <v>0.974250104936877</v>
      </c>
      <c r="O10" s="67" t="b">
        <f>ROUND(K10*L10*M10*N10-H10,9)=0</f>
        <v>1</v>
      </c>
    </row>
    <row r="11">
      <c r="A11" s="61" t="n">
        <v>37</v>
      </c>
      <c r="B11" s="62" t="str">
        <f>"W"&amp;A11</f>
        <v>W37</v>
      </c>
      <c r="C11" s="63">
        <f>SUMIFS(d_req,d_week,$A11)</f>
        <v>76800</v>
      </c>
      <c r="D11" s="63">
        <f>SUMIFS(d_asg,d_week,$A11)</f>
        <v>72115</v>
      </c>
      <c r="E11" s="63">
        <f>SUMIFS(d_comp,d_week,$A11)</f>
        <v>69375</v>
      </c>
      <c r="F11" s="63">
        <f>SUMIFS(d_ot,d_week,$A11)</f>
        <v>62299</v>
      </c>
      <c r="G11" s="63">
        <f>SUMIFS(d_perf,d_week,$A11)</f>
        <v>60560</v>
      </c>
      <c r="H11" s="64">
        <f>G11/C11</f>
        <v>0.788541666666667</v>
      </c>
      <c r="I11" s="65">
        <f>t_nsm</f>
        <v>0.77</v>
      </c>
      <c r="J11" s="55" t="str">
        <f>IF(H11&gt;=I11,"Green",IF(H11&gt;=I11*(1-amber_band),"Amber","Red"))</f>
        <v>Green</v>
      </c>
      <c r="K11" s="66">
        <f>D11/C11</f>
        <v>0.938997395833333</v>
      </c>
      <c r="L11" s="66">
        <f>E11/D11</f>
        <v>0.96200513069403</v>
      </c>
      <c r="M11" s="66">
        <f>F11/E11</f>
        <v>0.898003603603604</v>
      </c>
      <c r="N11" s="66">
        <f>G11/F11</f>
        <v>0.972086229313472</v>
      </c>
      <c r="O11" s="67" t="b">
        <f>ROUND(K11*L11*M11*N11-H11,9)=0</f>
        <v>1</v>
      </c>
    </row>
    <row r="12">
      <c r="A12" s="61" t="n">
        <v>38</v>
      </c>
      <c r="B12" s="62" t="str">
        <f>"W"&amp;A12</f>
        <v>W38</v>
      </c>
      <c r="C12" s="63">
        <f>SUMIFS(d_req,d_week,$A12)</f>
        <v>77600</v>
      </c>
      <c r="D12" s="63">
        <f>SUMIFS(d_asg,d_week,$A12)</f>
        <v>72556</v>
      </c>
      <c r="E12" s="63">
        <f>SUMIFS(d_comp,d_week,$A12)</f>
        <v>69726</v>
      </c>
      <c r="F12" s="63">
        <f>SUMIFS(d_ot,d_week,$A12)</f>
        <v>62474</v>
      </c>
      <c r="G12" s="63">
        <f>SUMIFS(d_perf,d_week,$A12)</f>
        <v>60631</v>
      </c>
      <c r="H12" s="64">
        <f>G12/C12</f>
        <v>0.781327319587629</v>
      </c>
      <c r="I12" s="65">
        <f>t_nsm</f>
        <v>0.77</v>
      </c>
      <c r="J12" s="55" t="str">
        <f>IF(H12&gt;=I12,"Green",IF(H12&gt;=I12*(1-amber_band),"Amber","Red"))</f>
        <v>Green</v>
      </c>
      <c r="K12" s="66">
        <f>D12/C12</f>
        <v>0.935</v>
      </c>
      <c r="L12" s="66">
        <f>E12/D12</f>
        <v>0.960995644743371</v>
      </c>
      <c r="M12" s="66">
        <f>F12/E12</f>
        <v>0.895992886441213</v>
      </c>
      <c r="N12" s="66">
        <f>G12/F12</f>
        <v>0.970499727886801</v>
      </c>
      <c r="O12" s="67" t="b">
        <f>ROUND(K12*L12*M12*N12-H12,9)=0</f>
        <v>1</v>
      </c>
    </row>
    <row r="13">
      <c r="A13" s="61" t="n">
        <v>39</v>
      </c>
      <c r="B13" s="62" t="str">
        <f>"W"&amp;A13</f>
        <v>W39</v>
      </c>
      <c r="C13" s="63">
        <f>SUMIFS(d_req,d_week,$A13)</f>
        <v>78300</v>
      </c>
      <c r="D13" s="63">
        <f>SUMIFS(d_asg,d_week,$A13)</f>
        <v>73289</v>
      </c>
      <c r="E13" s="63">
        <f>SUMIFS(d_comp,d_week,$A13)</f>
        <v>70430</v>
      </c>
      <c r="F13" s="63">
        <f>SUMIFS(d_ot,d_week,$A13)</f>
        <v>63317</v>
      </c>
      <c r="G13" s="63">
        <f>SUMIFS(d_perf,d_week,$A13)</f>
        <v>61596</v>
      </c>
      <c r="H13" s="64">
        <f>G13/C13</f>
        <v>0.786666666666667</v>
      </c>
      <c r="I13" s="65">
        <f>t_nsm</f>
        <v>0.77</v>
      </c>
      <c r="J13" s="55" t="str">
        <f>IF(H13&gt;=I13,"Green",IF(H13&gt;=I13*(1-amber_band),"Amber","Red"))</f>
        <v>Green</v>
      </c>
      <c r="K13" s="66">
        <f>D13/C13</f>
        <v>0.936002554278416</v>
      </c>
      <c r="L13" s="66">
        <f>E13/D13</f>
        <v>0.960990053077542</v>
      </c>
      <c r="M13" s="66">
        <f>F13/E13</f>
        <v>0.899006105352833</v>
      </c>
      <c r="N13" s="66">
        <f>G13/F13</f>
        <v>0.972819306031556</v>
      </c>
      <c r="O13" s="67" t="b">
        <f>ROUND(K13*L13*M13*N13-H13,9)=0</f>
        <v>1</v>
      </c>
    </row>
    <row r="14">
      <c r="A14" s="61" t="n">
        <v>40</v>
      </c>
      <c r="B14" s="62" t="str">
        <f>"W"&amp;A14</f>
        <v>W40</v>
      </c>
      <c r="C14" s="63">
        <f>SUMIFS(d_req,d_week,$A14)</f>
        <v>79100</v>
      </c>
      <c r="D14" s="63">
        <f>SUMIFS(d_asg,d_week,$A14)</f>
        <v>73721</v>
      </c>
      <c r="E14" s="63">
        <f>SUMIFS(d_comp,d_week,$A14)</f>
        <v>71067</v>
      </c>
      <c r="F14" s="63">
        <f>SUMIFS(d_ot,d_week,$A14)</f>
        <v>63534</v>
      </c>
      <c r="G14" s="63">
        <f>SUMIFS(d_perf,d_week,$A14)</f>
        <v>61757</v>
      </c>
      <c r="H14" s="64">
        <f>G14/C14</f>
        <v>0.780745891276865</v>
      </c>
      <c r="I14" s="65">
        <f>t_nsm</f>
        <v>0.77</v>
      </c>
      <c r="J14" s="55" t="str">
        <f>IF(H14&gt;=I14,"Green",IF(H14&gt;=I14*(1-amber_band),"Amber","Red"))</f>
        <v>Green</v>
      </c>
      <c r="K14" s="66">
        <f>D14/C14</f>
        <v>0.931997471554994</v>
      </c>
      <c r="L14" s="66">
        <f>E14/D14</f>
        <v>0.963999403155139</v>
      </c>
      <c r="M14" s="66">
        <f>F14/E14</f>
        <v>0.894001435265313</v>
      </c>
      <c r="N14" s="66">
        <f>G14/F14</f>
        <v>0.972030723706992</v>
      </c>
      <c r="O14" s="67" t="b">
        <f>ROUND(K14*L14*M14*N14-H14,9)=0</f>
        <v>1</v>
      </c>
    </row>
    <row r="15">
      <c r="A15" s="61" t="n">
        <v>41</v>
      </c>
      <c r="B15" s="62" t="str">
        <f>"W"&amp;A15</f>
        <v>W41</v>
      </c>
      <c r="C15" s="63">
        <f>SUMIFS(d_req,d_week,$A15)</f>
        <v>79900</v>
      </c>
      <c r="D15" s="63">
        <f>SUMIFS(d_asg,d_week,$A15)</f>
        <v>74307</v>
      </c>
      <c r="E15" s="63">
        <f>SUMIFS(d_comp,d_week,$A15)</f>
        <v>71500</v>
      </c>
      <c r="F15" s="63">
        <f>SUMIFS(d_ot,d_week,$A15)</f>
        <v>63706</v>
      </c>
      <c r="G15" s="63">
        <f>SUMIFS(d_perf,d_week,$A15)</f>
        <v>61920</v>
      </c>
      <c r="H15" s="64">
        <f>G15/C15</f>
        <v>0.774968710888611</v>
      </c>
      <c r="I15" s="65">
        <f>t_nsm</f>
        <v>0.77</v>
      </c>
      <c r="J15" s="55" t="str">
        <f>IF(H15&gt;=I15,"Green",IF(H15&gt;=I15*(1-amber_band),"Amber","Red"))</f>
        <v>Green</v>
      </c>
      <c r="K15" s="66">
        <f>D15/C15</f>
        <v>0.93</v>
      </c>
      <c r="L15" s="66">
        <f>E15/D15</f>
        <v>0.962224285733511</v>
      </c>
      <c r="M15" s="66">
        <f>F15/E15</f>
        <v>0.890993006993007</v>
      </c>
      <c r="N15" s="66">
        <f>G15/F15</f>
        <v>0.971964964053621</v>
      </c>
      <c r="O15" s="67" t="b">
        <f>ROUND(K15*L15*M15*N15-H15,9)=0</f>
        <v>1</v>
      </c>
    </row>
    <row r="16">
      <c r="A16" s="61" t="n">
        <v>42</v>
      </c>
      <c r="B16" s="62" t="str">
        <f>"W"&amp;A16</f>
        <v>W42</v>
      </c>
      <c r="C16" s="63">
        <f>SUMIFS(d_req,d_week,$A16)</f>
        <v>81400</v>
      </c>
      <c r="D16" s="63">
        <f>SUMIFS(d_asg,d_week,$A16)</f>
        <v>74562</v>
      </c>
      <c r="E16" s="63">
        <f>SUMIFS(d_comp,d_week,$A16)</f>
        <v>71200</v>
      </c>
      <c r="F16" s="63">
        <f>SUMIFS(d_ot,d_week,$A16)</f>
        <v>62941</v>
      </c>
      <c r="G16" s="63">
        <f>SUMIFS(d_perf,d_week,$A16)</f>
        <v>60899</v>
      </c>
      <c r="H16" s="64">
        <f>G16/C16</f>
        <v>0.748144963144963</v>
      </c>
      <c r="I16" s="65">
        <f>t_nsm</f>
        <v>0.77</v>
      </c>
      <c r="J16" s="55" t="str">
        <f>IF(H16&gt;=I16,"Green",IF(H16&gt;=I16*(1-amber_band),"Amber","Red"))</f>
        <v>Amber</v>
      </c>
      <c r="K16" s="66">
        <f>D16/C16</f>
        <v>0.915995085995086</v>
      </c>
      <c r="L16" s="66">
        <f>E16/D16</f>
        <v>0.954910007778761</v>
      </c>
      <c r="M16" s="66">
        <f>F16/E16</f>
        <v>0.884002808988764</v>
      </c>
      <c r="N16" s="66">
        <f>G16/F16</f>
        <v>0.967556918383883</v>
      </c>
      <c r="O16" s="67" t="b">
        <f>ROUND(K16*L16*M16*N16-H16,9)=0</f>
        <v>1</v>
      </c>
    </row>
    <row r="17">
      <c r="A17" s="19" t="inlineStr">
        <is>
          <t>Perfect rate = Fill × Completion × On-time × Quality pass. Every manager owns one term, so a drop always has an owner.</t>
        </is>
      </c>
    </row>
    <row r="19">
      <c r="A19" s="8" t="inlineStr">
        <is>
          <t>Where the week leaked</t>
        </is>
      </c>
      <c r="D19" s="21" t="inlineStr">
        <is>
          <t>Week</t>
        </is>
      </c>
      <c r="E19" s="68">
        <f>sel_week</f>
        <v>42</v>
      </c>
      <c r="F19" s="11" t="inlineStr">
        <is>
          <t>(set on the Weekly MIS tab · scope: All India; the city selector does not apply here)</t>
        </is>
      </c>
    </row>
    <row r="20" ht="30" customHeight="1">
      <c r="A20" s="25" t="inlineStr">
        <is>
          <t>Term</t>
        </is>
      </c>
      <c r="B20" s="26" t="inlineStr"/>
      <c r="C20" s="26" t="inlineStr">
        <is>
          <t>This week</t>
        </is>
      </c>
      <c r="D20" s="26" t="inlineStr">
        <is>
          <t>Last week</t>
        </is>
      </c>
      <c r="E20" s="26" t="inlineStr">
        <is>
          <t>Change</t>
        </is>
      </c>
      <c r="F20" s="26" t="inlineStr">
        <is>
          <t>Perfect bookings this term moved</t>
        </is>
      </c>
    </row>
    <row r="21">
      <c r="A21" s="32" t="inlineStr">
        <is>
          <t>Booking requests</t>
        </is>
      </c>
      <c r="C21" s="41">
        <f>INDEX(C$5:C$16,MATCH(sel_week,$A$5:$A$16,0))</f>
        <v>81400</v>
      </c>
      <c r="D21" s="41">
        <f>INDEX(C$5:C$16,MATCH(sel_week-1,$A$5:$A$16,0))</f>
        <v>79900</v>
      </c>
      <c r="E21" s="42">
        <f>C21/D21-1</f>
        <v>0.018773466833542</v>
      </c>
      <c r="F21" s="69">
        <f>$E$26*LN(C21/D21)/LN($C$26/$D$26)</f>
        <v>1142.15478571223</v>
      </c>
    </row>
    <row r="22">
      <c r="A22" s="32" t="inlineStr">
        <is>
          <t>Fill rate</t>
        </is>
      </c>
      <c r="C22" s="34">
        <f>INDEX(K$5:K$16,MATCH(sel_week,$A$5:$A$16,0))</f>
        <v>0.915995085995086</v>
      </c>
      <c r="D22" s="34">
        <f>INDEX(K$5:K$16,MATCH(sel_week-1,$A$5:$A$16,0))</f>
        <v>0.93</v>
      </c>
      <c r="E22" s="35">
        <f>(C22-D22)*100</f>
        <v>-1.40049140049141</v>
      </c>
      <c r="F22" s="69">
        <f>$E$26*LN(C22/D22)/LN($C$26/$D$26)</f>
        <v>-931.780871942343</v>
      </c>
    </row>
    <row r="23">
      <c r="A23" s="32" t="inlineStr">
        <is>
          <t>Completion</t>
        </is>
      </c>
      <c r="C23" s="34">
        <f>INDEX(L$5:L$16,MATCH(sel_week,$A$5:$A$16,0))</f>
        <v>0.954910007778761</v>
      </c>
      <c r="D23" s="34">
        <f>INDEX(L$5:L$16,MATCH(sel_week-1,$A$5:$A$16,0))</f>
        <v>0.962224285733511</v>
      </c>
      <c r="E23" s="35">
        <f>(C23-D23)*100</f>
        <v>-0.731427795474959</v>
      </c>
      <c r="F23" s="69">
        <f>$E$26*LN(C23/D23)/LN($C$26/$D$26)</f>
        <v>-468.572270488784</v>
      </c>
    </row>
    <row r="24">
      <c r="A24" s="32" t="inlineStr">
        <is>
          <t>On-time</t>
        </is>
      </c>
      <c r="C24" s="34">
        <f>INDEX(M$5:M$16,MATCH(sel_week,$A$5:$A$16,0))</f>
        <v>0.884002808988764</v>
      </c>
      <c r="D24" s="34">
        <f>INDEX(M$5:M$16,MATCH(sel_week-1,$A$5:$A$16,0))</f>
        <v>0.890993006993007</v>
      </c>
      <c r="E24" s="35">
        <f>(C24-D24)*100</f>
        <v>-0.699019800424294</v>
      </c>
      <c r="F24" s="69">
        <f>$E$26*LN(C24/D24)/LN($C$26/$D$26)</f>
        <v>-483.670880870509</v>
      </c>
    </row>
    <row r="25">
      <c r="A25" s="32" t="inlineStr">
        <is>
          <t>Quality pass</t>
        </is>
      </c>
      <c r="C25" s="34">
        <f>INDEX(N$5:N$16,MATCH(sel_week,$A$5:$A$16,0))</f>
        <v>0.967556918383883</v>
      </c>
      <c r="D25" s="34">
        <f>INDEX(N$5:N$16,MATCH(sel_week-1,$A$5:$A$16,0))</f>
        <v>0.971964964053621</v>
      </c>
      <c r="E25" s="35">
        <f>(C25-D25)*100</f>
        <v>-0.440804566973796</v>
      </c>
      <c r="F25" s="69">
        <f>$E$26*LN(C25/D25)/LN($C$26/$D$26)</f>
        <v>-279.130762410584</v>
      </c>
    </row>
    <row r="26">
      <c r="A26" s="32" t="inlineStr">
        <is>
          <t>Perfect bookings</t>
        </is>
      </c>
      <c r="C26" s="40">
        <f>INDEX(G$5:G$16,MATCH(sel_week,$A$5:$A$16,0))</f>
        <v>60899</v>
      </c>
      <c r="D26" s="41">
        <f>INDEX(G$5:G$16,MATCH(sel_week-1,$A$5:$A$16,0))</f>
        <v>61920</v>
      </c>
      <c r="E26" s="70">
        <f>C26-D26</f>
        <v>-1021</v>
      </c>
      <c r="F26" s="69">
        <f>SUM(F21:F25)</f>
        <v>-1020.99999999999</v>
      </c>
    </row>
    <row r="27">
      <c r="A27" s="19" t="inlineStr">
        <is>
          <t>Log split: each term's share of the change in ln(perfect bookings). The five terms add up to the total change.</t>
        </is>
      </c>
    </row>
  </sheetData>
  <conditionalFormatting sqref="J5:J16">
    <cfRule type="expression" priority="1" dxfId="0">
      <formula>J5="Green"</formula>
    </cfRule>
    <cfRule type="expression" priority="2" dxfId="1">
      <formula>J5="Amber"</formula>
    </cfRule>
    <cfRule type="expression" priority="3" dxfId="2">
      <formula>J5="Red"</formula>
    </cfRule>
    <cfRule type="expression" priority="4" dxfId="3">
      <formula>J5="Info"</formula>
    </cfRule>
  </conditionalFormatting>
  <conditionalFormatting sqref="F21:F26">
    <cfRule type="expression" priority="5" dxfId="5">
      <formula>F21&lt;0</formula>
    </cfRule>
    <cfRule type="expression" priority="6" dxfId="4">
      <formula>F21&gt;0</formula>
    </cfRule>
  </conditionalFormatting>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2A78D6"/>
    <outlinePr summaryBelow="1" summaryRight="1"/>
    <pageSetUpPr fitToPage="1"/>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1" customWidth="1" min="3" max="3"/>
    <col width="11" customWidth="1" min="4" max="4"/>
    <col width="13" customWidth="1" min="5" max="5"/>
    <col width="11" customWidth="1" min="6" max="6"/>
    <col width="10" customWidth="1" min="7" max="7"/>
    <col width="11" customWidth="1" min="8" max="8"/>
    <col width="15" customWidth="1" min="9" max="9"/>
  </cols>
  <sheetData>
    <row r="1" ht="26" customHeight="1">
      <c r="B1" s="20" t="inlineStr">
        <is>
          <t>Monthly review</t>
        </is>
      </c>
    </row>
    <row r="2">
      <c r="B2" s="19" t="inlineStr">
        <is>
          <t>Weeks roll up to the month their Thursday falls in (ISO rule). Counts are weekly averages so months compare fairly.</t>
        </is>
      </c>
    </row>
    <row r="4" ht="30" customHeight="1">
      <c r="B4" s="25" t="inlineStr">
        <is>
          <t>Metric</t>
        </is>
      </c>
      <c r="C4" s="26" t="inlineStr">
        <is>
          <t>Aug</t>
        </is>
      </c>
      <c r="D4" s="26" t="inlineStr">
        <is>
          <t>Sep</t>
        </is>
      </c>
      <c r="E4" s="26" t="inlineStr">
        <is>
          <t>Oct (to date)</t>
        </is>
      </c>
      <c r="F4" s="26" t="inlineStr">
        <is>
          <t>Sep → Oct</t>
        </is>
      </c>
      <c r="G4" s="26" t="inlineStr">
        <is>
          <t>Target</t>
        </is>
      </c>
      <c r="H4" s="26" t="inlineStr">
        <is>
          <t>Oct status</t>
        </is>
      </c>
      <c r="I4" s="26" t="inlineStr">
        <is>
          <t>Owner</t>
        </is>
      </c>
    </row>
    <row r="5">
      <c r="B5" s="11" t="inlineStr">
        <is>
          <t>Month key</t>
        </is>
      </c>
      <c r="C5" s="67" t="inlineStr">
        <is>
          <t>Aug</t>
        </is>
      </c>
      <c r="D5" s="67" t="inlineStr">
        <is>
          <t>Sep</t>
        </is>
      </c>
      <c r="E5" s="67" t="inlineStr">
        <is>
          <t>Oct</t>
        </is>
      </c>
    </row>
    <row r="6">
      <c r="B6" s="11" t="inlineStr">
        <is>
          <t>Weeks in month</t>
        </is>
      </c>
      <c r="C6" s="71">
        <f>COUNTIFS(d_month,C$5,d_city,"Delhi")</f>
        <v>4</v>
      </c>
      <c r="D6" s="71">
        <f>COUNTIFS(d_month,D$5,d_city,"Delhi")</f>
        <v>4</v>
      </c>
      <c r="E6" s="71">
        <f>COUNTIFS(d_month,E$5,d_city,"Delhi")</f>
        <v>3</v>
      </c>
    </row>
    <row r="7">
      <c r="B7" s="27" t="inlineStr">
        <is>
          <t>North Star</t>
        </is>
      </c>
      <c r="C7" s="28" t="n"/>
      <c r="D7" s="28" t="n"/>
      <c r="E7" s="28" t="n"/>
      <c r="F7" s="28" t="n"/>
      <c r="G7" s="28" t="n"/>
      <c r="H7" s="28" t="n"/>
      <c r="I7" s="28" t="n"/>
    </row>
    <row r="8">
      <c r="A8" s="31" t="inlineStr">
        <is>
          <t>nsm</t>
        </is>
      </c>
      <c r="B8" s="32" t="inlineStr">
        <is>
          <t>Perfect booking rate</t>
        </is>
      </c>
      <c r="C8" s="34">
        <f>SUMIFS(d_perf,d_month,C$5)/SUMIFS(d_req,d_month,C$5)</f>
        <v>0.79476591444931</v>
      </c>
      <c r="D8" s="34">
        <f>SUMIFS(d_perf,d_month,D$5)/SUMIFS(d_req,d_month,D$5)</f>
        <v>0.78735103626943</v>
      </c>
      <c r="E8" s="33">
        <f>SUMIFS(d_perf,d_month,E$5)/SUMIFS(d_req,d_month,E$5)</f>
        <v>0.767787021630616</v>
      </c>
      <c r="F8" s="35">
        <f>(E8-D8)*100</f>
        <v>-1.95640146388144</v>
      </c>
      <c r="G8" s="36">
        <f>IF(INDEX(tg_dir,MATCH($A8,tg_key,0))="Info","–",INDEX(tg_target,MATCH($A8,tg_key,0)))</f>
        <v>0.77</v>
      </c>
      <c r="H8" s="37" t="str">
        <f>IF(OR(INDEX(tg_dir,MATCH($A8,tg_key,0))="Info",G8="–"),"Info",IF(INDEX(tg_dir,MATCH($A8,tg_key,0))="Higher",IF(E8&gt;=G8,"Green",IF(E8&gt;=G8*(1-amber_band),"Amber","Red")),IF(E8&lt;=G8,"Green",IF(E8&lt;=G8*(1+amber_band),"Amber","Red"))))</f>
        <v>Amber</v>
      </c>
      <c r="I8" s="38" t="str">
        <f>INDEX(tg_owner,MATCH($A8,tg_key,0))</f>
        <v>All five</v>
      </c>
    </row>
    <row r="9">
      <c r="B9" s="27" t="inlineStr">
        <is>
          <t>Demand &amp; fulfilment</t>
        </is>
      </c>
      <c r="C9" s="28" t="n"/>
      <c r="D9" s="28" t="n"/>
      <c r="E9" s="28" t="n"/>
      <c r="F9" s="28" t="n"/>
      <c r="G9" s="28" t="n"/>
      <c r="H9" s="28" t="n"/>
      <c r="I9" s="28" t="n"/>
    </row>
    <row r="10">
      <c r="A10" s="31" t="inlineStr">
        <is>
          <t>req</t>
        </is>
      </c>
      <c r="B10" s="39" t="inlineStr">
        <is>
          <t>Booking requests</t>
        </is>
      </c>
      <c r="C10" s="41">
        <f>SUMIFS(d_req,d_month,C$5)/C$6</f>
        <v>74225</v>
      </c>
      <c r="D10" s="41">
        <f>SUMIFS(d_req,d_month,D$5)/D$6</f>
        <v>77200</v>
      </c>
      <c r="E10" s="40">
        <f>SUMIFS(d_req,d_month,E$5)/E$6</f>
        <v>80133.3333333333</v>
      </c>
      <c r="F10" s="42">
        <f>E10/D10-1</f>
        <v>0.0379965457685665</v>
      </c>
      <c r="G10" s="43" t="str">
        <f>IF(INDEX(tg_dir,MATCH($A10,tg_key,0))="Info","–",INDEX(tg_target,MATCH($A10,tg_key,0)))</f>
        <v>–</v>
      </c>
      <c r="H10" s="37" t="str">
        <f>IF(OR(INDEX(tg_dir,MATCH($A10,tg_key,0))="Info",G10="–"),"Info",IF(INDEX(tg_dir,MATCH($A10,tg_key,0))="Higher",IF(E10&gt;=G10,"Green",IF(E10&gt;=G10*(1-amber_band),"Amber","Red")),IF(E10&lt;=G10,"Green",IF(E10&lt;=G10*(1+amber_band),"Amber","Red"))))</f>
        <v>Info</v>
      </c>
      <c r="I10" s="38" t="str">
        <f>INDEX(tg_owner,MATCH($A10,tg_key,0))</f>
        <v>City Ops</v>
      </c>
    </row>
    <row r="11">
      <c r="A11" s="31" t="inlineStr">
        <is>
          <t>fill</t>
        </is>
      </c>
      <c r="B11" s="39" t="inlineStr">
        <is>
          <t>Fill rate</t>
        </is>
      </c>
      <c r="C11" s="34">
        <f>SUMIFS(d_asg,d_month,C$5)/SUMIFS(d_req,d_month,C$5)</f>
        <v>0.941236106433143</v>
      </c>
      <c r="D11" s="34">
        <f>SUMIFS(d_asg,d_month,D$5)/SUMIFS(d_req,d_month,D$5)</f>
        <v>0.936742227979275</v>
      </c>
      <c r="E11" s="33">
        <f>SUMIFS(d_asg,d_month,E$5)/SUMIFS(d_req,d_month,E$5)</f>
        <v>0.925915141430948</v>
      </c>
      <c r="F11" s="35">
        <f>(E11-D11)*100</f>
        <v>-1.08270865483262</v>
      </c>
      <c r="G11" s="36">
        <f>IF(INDEX(tg_dir,MATCH($A11,tg_key,0))="Info","–",INDEX(tg_target,MATCH($A11,tg_key,0)))</f>
        <v>0.95</v>
      </c>
      <c r="H11" s="37" t="str">
        <f>IF(OR(INDEX(tg_dir,MATCH($A11,tg_key,0))="Info",G11="–"),"Info",IF(INDEX(tg_dir,MATCH($A11,tg_key,0))="Higher",IF(E11&gt;=G11,"Green",IF(E11&gt;=G11*(1-amber_band),"Amber","Red")),IF(E11&lt;=G11,"Green",IF(E11&lt;=G11*(1+amber_band),"Amber","Red"))))</f>
        <v>Amber</v>
      </c>
      <c r="I11" s="38" t="str">
        <f>INDEX(tg_owner,MATCH($A11,tg_key,0))</f>
        <v>City Ops</v>
      </c>
    </row>
    <row r="12">
      <c r="A12" s="31" t="inlineStr">
        <is>
          <t>comp</t>
        </is>
      </c>
      <c r="B12" s="39" t="inlineStr">
        <is>
          <t>Jobs completed</t>
        </is>
      </c>
      <c r="C12" s="41">
        <f>SUMIFS(d_comp,d_month,C$5)/C$6</f>
        <v>67208.25</v>
      </c>
      <c r="D12" s="41">
        <f>SUMIFS(d_comp,d_month,D$5)/D$6</f>
        <v>69531.75</v>
      </c>
      <c r="E12" s="40">
        <f>SUMIFS(d_comp,d_month,E$5)/E$6</f>
        <v>71255.6666666667</v>
      </c>
      <c r="F12" s="42">
        <f>E12/D12-1</f>
        <v>0.0247932299513054</v>
      </c>
      <c r="G12" s="43" t="str">
        <f>IF(INDEX(tg_dir,MATCH($A12,tg_key,0))="Info","–",INDEX(tg_target,MATCH($A12,tg_key,0)))</f>
        <v>–</v>
      </c>
      <c r="H12" s="37" t="str">
        <f>IF(OR(INDEX(tg_dir,MATCH($A12,tg_key,0))="Info",G12="–"),"Info",IF(INDEX(tg_dir,MATCH($A12,tg_key,0))="Higher",IF(E12&gt;=G12,"Green",IF(E12&gt;=G12*(1-amber_band),"Amber","Red")),IF(E12&lt;=G12,"Green",IF(E12&lt;=G12*(1+amber_band),"Amber","Red"))))</f>
        <v>Info</v>
      </c>
      <c r="I12" s="38" t="str">
        <f>INDEX(tg_owner,MATCH($A12,tg_key,0))</f>
        <v>City Ops</v>
      </c>
    </row>
    <row r="13">
      <c r="A13" s="31" t="inlineStr">
        <is>
          <t>ot</t>
        </is>
      </c>
      <c r="B13" s="39" t="inlineStr">
        <is>
          <t>On-time arrival</t>
        </is>
      </c>
      <c r="C13" s="34">
        <f>SUMIFS(d_ot,d_month,C$5)/SUMIFS(d_comp,d_month,C$5)</f>
        <v>0.901991198997147</v>
      </c>
      <c r="D13" s="34">
        <f>SUMIFS(d_ot,d_month,D$5)/SUMIFS(d_comp,d_month,D$5)</f>
        <v>0.89898499606295</v>
      </c>
      <c r="E13" s="33">
        <f>SUMIFS(d_ot,d_month,E$5)/SUMIFS(d_comp,d_month,E$5)</f>
        <v>0.889664915538881</v>
      </c>
      <c r="F13" s="35">
        <f>(E13-D13)*100</f>
        <v>-0.932008052406852</v>
      </c>
      <c r="G13" s="36">
        <f>IF(INDEX(tg_dir,MATCH($A13,tg_key,0))="Info","–",INDEX(tg_target,MATCH($A13,tg_key,0)))</f>
        <v>0.92</v>
      </c>
      <c r="H13" s="37" t="str">
        <f>IF(OR(INDEX(tg_dir,MATCH($A13,tg_key,0))="Info",G13="–"),"Info",IF(INDEX(tg_dir,MATCH($A13,tg_key,0))="Higher",IF(E13&gt;=G13,"Green",IF(E13&gt;=G13*(1-amber_band),"Amber","Red")),IF(E13&lt;=G13,"Green",IF(E13&lt;=G13*(1+amber_band),"Amber","Red"))))</f>
        <v>Amber</v>
      </c>
      <c r="I13" s="38" t="str">
        <f>INDEX(tg_owner,MATCH($A13,tg_key,0))</f>
        <v>City Ops</v>
      </c>
    </row>
    <row r="14">
      <c r="A14" s="31" t="inlineStr">
        <is>
          <t>cc</t>
        </is>
      </c>
      <c r="B14" s="39" t="inlineStr">
        <is>
          <t>Cancellations, customer side</t>
        </is>
      </c>
      <c r="C14" s="34">
        <f>SUMIFS(d_cc,d_month,C$5)/SUMIFS(d_asg,d_month,C$5)</f>
        <v>0.0265053515260169</v>
      </c>
      <c r="D14" s="34">
        <f>SUMIFS(d_cc,d_month,D$5)/SUMIFS(d_asg,d_month,D$5)</f>
        <v>0.0260037474158733</v>
      </c>
      <c r="E14" s="33">
        <f>SUMIFS(d_cc,d_month,E$5)/SUMIFS(d_asg,d_month,E$5)</f>
        <v>0.0259849948335505</v>
      </c>
      <c r="F14" s="35">
        <f>(E14-D14)*100</f>
        <v>-0.00187525823228084</v>
      </c>
      <c r="G14" s="36">
        <f>IF(INDEX(tg_dir,MATCH($A14,tg_key,0))="Info","–",INDEX(tg_target,MATCH($A14,tg_key,0)))</f>
        <v>0.03</v>
      </c>
      <c r="H14" s="37" t="str">
        <f>IF(OR(INDEX(tg_dir,MATCH($A14,tg_key,0))="Info",G14="–"),"Info",IF(INDEX(tg_dir,MATCH($A14,tg_key,0))="Higher",IF(E14&gt;=G14,"Green",IF(E14&gt;=G14*(1-amber_band),"Amber","Red")),IF(E14&lt;=G14,"Green",IF(E14&lt;=G14*(1+amber_band),"Amber","Red"))))</f>
        <v>Green</v>
      </c>
      <c r="I14" s="38" t="str">
        <f>INDEX(tg_owner,MATCH($A14,tg_key,0))</f>
        <v>CX</v>
      </c>
    </row>
    <row r="15">
      <c r="A15" s="31" t="inlineStr">
        <is>
          <t>pc</t>
        </is>
      </c>
      <c r="B15" s="39" t="inlineStr">
        <is>
          <t>Cancellations, partner side</t>
        </is>
      </c>
      <c r="C15" s="34">
        <f>SUMIFS(d_pc,d_month,C$5)/SUMIFS(d_asg,d_month,C$5)</f>
        <v>0.0114974611115286</v>
      </c>
      <c r="D15" s="34">
        <f>SUMIFS(d_pc,d_month,D$5)/SUMIFS(d_asg,d_month,D$5)</f>
        <v>0.0125040620052132</v>
      </c>
      <c r="E15" s="33">
        <f>SUMIFS(d_pc,d_month,E$5)/SUMIFS(d_asg,d_month,E$5)</f>
        <v>0.0136529044431466</v>
      </c>
      <c r="F15" s="35">
        <f>(E15-D15)*100</f>
        <v>0.11488424379334</v>
      </c>
      <c r="G15" s="36">
        <f>IF(INDEX(tg_dir,MATCH($A15,tg_key,0))="Info","–",INDEX(tg_target,MATCH($A15,tg_key,0)))</f>
        <v>0.015</v>
      </c>
      <c r="H15" s="37" t="str">
        <f>IF(OR(INDEX(tg_dir,MATCH($A15,tg_key,0))="Info",G15="–"),"Info",IF(INDEX(tg_dir,MATCH($A15,tg_key,0))="Higher",IF(E15&gt;=G15,"Green",IF(E15&gt;=G15*(1-amber_band),"Amber","Red")),IF(E15&lt;=G15,"Green",IF(E15&lt;=G15*(1+amber_band),"Amber","Red"))))</f>
        <v>Green</v>
      </c>
      <c r="I15" s="38" t="str">
        <f>INDEX(tg_owner,MATCH($A15,tg_key,0))</f>
        <v>Supply</v>
      </c>
    </row>
    <row r="16">
      <c r="B16" s="27" t="inlineStr">
        <is>
          <t>Partner supply</t>
        </is>
      </c>
      <c r="C16" s="28" t="n"/>
      <c r="D16" s="28" t="n"/>
      <c r="E16" s="28" t="n"/>
      <c r="F16" s="28" t="n"/>
      <c r="G16" s="28" t="n"/>
      <c r="H16" s="28" t="n"/>
      <c r="I16" s="28" t="n"/>
    </row>
    <row r="17">
      <c r="A17" s="31" t="inlineStr">
        <is>
          <t>act</t>
        </is>
      </c>
      <c r="B17" s="39" t="inlineStr">
        <is>
          <t>Active partners (1+ job)</t>
        </is>
      </c>
      <c r="C17" s="41">
        <f>SUMIFS(d_act,d_month,C$5)/C$6</f>
        <v>7142.5</v>
      </c>
      <c r="D17" s="41">
        <f>SUMIFS(d_act,d_month,D$5)/D$6</f>
        <v>7282.5</v>
      </c>
      <c r="E17" s="40">
        <f>SUMIFS(d_act,d_month,E$5)/E$6</f>
        <v>7426.66666666667</v>
      </c>
      <c r="F17" s="42">
        <f>E17/D17-1</f>
        <v>0.0197963153678911</v>
      </c>
      <c r="G17" s="43">
        <f>IF(INDEX(tg_dir,MATCH($A17,tg_key,0))="Info","–",INDEX(tg_target,MATCH($A17,tg_key,0)))</f>
        <v>7600</v>
      </c>
      <c r="H17" s="37" t="str">
        <f>IF(OR(INDEX(tg_dir,MATCH($A17,tg_key,0))="Info",G17="–"),"Info",IF(INDEX(tg_dir,MATCH($A17,tg_key,0))="Higher",IF(E17&gt;=G17,"Green",IF(E17&gt;=G17*(1-amber_band),"Amber","Red")),IF(E17&lt;=G17,"Green",IF(E17&lt;=G17*(1+amber_band),"Amber","Red"))))</f>
        <v>Amber</v>
      </c>
      <c r="I17" s="38" t="str">
        <f>INDEX(tg_owner,MATCH($A17,tg_key,0))</f>
        <v>Supply</v>
      </c>
    </row>
    <row r="18">
      <c r="A18" s="31" t="inlineStr">
        <is>
          <t>cert</t>
        </is>
      </c>
      <c r="B18" s="39" t="inlineStr">
        <is>
          <t>New partners certified</t>
        </is>
      </c>
      <c r="C18" s="41">
        <f>SUMIFS(d_cert,d_month,C$5)/C$6</f>
        <v>172</v>
      </c>
      <c r="D18" s="41">
        <f>SUMIFS(d_cert,d_month,D$5)/D$6</f>
        <v>178.5</v>
      </c>
      <c r="E18" s="40">
        <f>SUMIFS(d_cert,d_month,E$5)/E$6</f>
        <v>195.666666666667</v>
      </c>
      <c r="F18" s="42">
        <f>E18/D18-1</f>
        <v>0.0961718020541549</v>
      </c>
      <c r="G18" s="43">
        <f>IF(INDEX(tg_dir,MATCH($A18,tg_key,0))="Info","–",INDEX(tg_target,MATCH($A18,tg_key,0)))</f>
        <v>200</v>
      </c>
      <c r="H18" s="37" t="str">
        <f>IF(OR(INDEX(tg_dir,MATCH($A18,tg_key,0))="Info",G18="–"),"Info",IF(INDEX(tg_dir,MATCH($A18,tg_key,0))="Higher",IF(E18&gt;=G18,"Green",IF(E18&gt;=G18*(1-amber_band),"Amber","Red")),IF(E18&lt;=G18,"Green",IF(E18&lt;=G18*(1+amber_band),"Amber","Red"))))</f>
        <v>Amber</v>
      </c>
      <c r="I18" s="38" t="str">
        <f>INDEX(tg_owner,MATCH($A18,tg_key,0))</f>
        <v>Training &amp; QA</v>
      </c>
    </row>
    <row r="19">
      <c r="A19" s="31" t="inlineStr">
        <is>
          <t>ret</t>
        </is>
      </c>
      <c r="B19" s="39" t="inlineStr">
        <is>
          <t>90-day retention (cohort)</t>
        </is>
      </c>
      <c r="C19" s="45">
        <f>SUMIFS(d_coha,d_month,C$5)/SUMIFS(d_coh,d_month,C$5)</f>
        <v>0.650650650650651</v>
      </c>
      <c r="D19" s="45">
        <f>SUMIFS(d_coha,d_month,D$5)/SUMIFS(d_coh,d_month,D$5)</f>
        <v>0.629778672032193</v>
      </c>
      <c r="E19" s="44">
        <f>SUMIFS(d_coha,d_month,E$5)/SUMIFS(d_coh,d_month,E$5)</f>
        <v>0.628947368421053</v>
      </c>
      <c r="F19" s="35">
        <f>(E19-D19)*100</f>
        <v>-0.0831303611140588</v>
      </c>
      <c r="G19" s="46">
        <f>IF(INDEX(tg_dir,MATCH($A19,tg_key,0))="Info","–",INDEX(tg_target,MATCH($A19,tg_key,0)))</f>
        <v>0.7</v>
      </c>
      <c r="H19" s="37" t="str">
        <f>IF(OR(INDEX(tg_dir,MATCH($A19,tg_key,0))="Info",G19="–"),"Info",IF(INDEX(tg_dir,MATCH($A19,tg_key,0))="Higher",IF(E19&gt;=G19,"Green",IF(E19&gt;=G19*(1-amber_band),"Amber","Red")),IF(E19&lt;=G19,"Green",IF(E19&lt;=G19*(1+amber_band),"Amber","Red"))))</f>
        <v>Red</v>
      </c>
      <c r="I19" s="38" t="str">
        <f>INDEX(tg_owner,MATCH($A19,tg_key,0))</f>
        <v>Supply</v>
      </c>
    </row>
    <row r="20">
      <c r="B20" s="27" t="inlineStr">
        <is>
          <t>Productivity</t>
        </is>
      </c>
      <c r="C20" s="28" t="n"/>
      <c r="D20" s="28" t="n"/>
      <c r="E20" s="28" t="n"/>
      <c r="F20" s="28" t="n"/>
      <c r="G20" s="28" t="n"/>
      <c r="H20" s="28" t="n"/>
      <c r="I20" s="28" t="n"/>
    </row>
    <row r="21">
      <c r="A21" s="31" t="inlineStr">
        <is>
          <t>jppd</t>
        </is>
      </c>
      <c r="B21" s="39" t="inlineStr">
        <is>
          <t>Jobs per active partner per day</t>
        </is>
      </c>
      <c r="C21" s="48">
        <f>SUMIFS(d_comp,d_month,C$5)/(SUMIFS(d_act,d_month,C$5)*6)</f>
        <v>1.56827091354568</v>
      </c>
      <c r="D21" s="48">
        <f>SUMIFS(d_comp,d_month,D$5)/(SUMIFS(d_act,d_month,D$5)*6)</f>
        <v>1.59129763130793</v>
      </c>
      <c r="E21" s="47">
        <f>SUMIFS(d_comp,d_month,E$5)/(SUMIFS(d_act,d_month,E$5)*6)</f>
        <v>1.59909485338121</v>
      </c>
      <c r="F21" s="49">
        <f>E21-D21</f>
        <v>0.00779722207327893</v>
      </c>
      <c r="G21" s="50">
        <f>IF(INDEX(tg_dir,MATCH($A21,tg_key,0))="Info","–",INDEX(tg_target,MATCH($A21,tg_key,0)))</f>
        <v>1.65</v>
      </c>
      <c r="H21" s="37" t="str">
        <f>IF(OR(INDEX(tg_dir,MATCH($A21,tg_key,0))="Info",G21="–"),"Info",IF(INDEX(tg_dir,MATCH($A21,tg_key,0))="Higher",IF(E21&gt;=G21,"Green",IF(E21&gt;=G21*(1-amber_band),"Amber","Red")),IF(E21&lt;=G21,"Green",IF(E21&lt;=G21*(1+amber_band),"Amber","Red"))))</f>
        <v>Amber</v>
      </c>
      <c r="I21" s="38" t="str">
        <f>INDEX(tg_owner,MATCH($A21,tg_key,0))</f>
        <v>City Ops</v>
      </c>
    </row>
    <row r="22">
      <c r="B22" s="27" t="inlineStr">
        <is>
          <t>Quality</t>
        </is>
      </c>
      <c r="C22" s="28" t="n"/>
      <c r="D22" s="28" t="n"/>
      <c r="E22" s="28" t="n"/>
      <c r="F22" s="28" t="n"/>
      <c r="G22" s="28" t="n"/>
      <c r="H22" s="28" t="n"/>
      <c r="I22" s="28" t="n"/>
    </row>
    <row r="23">
      <c r="A23" s="31" t="inlineStr">
        <is>
          <t>rating</t>
        </is>
      </c>
      <c r="B23" s="39" t="inlineStr">
        <is>
          <t>Average rating</t>
        </is>
      </c>
      <c r="C23" s="48">
        <f>SUMIFS(d_rs,d_month,C$5)/SUMIFS(d_rc,d_month,C$5)</f>
        <v>4.74751474355513</v>
      </c>
      <c r="D23" s="48">
        <f>SUMIFS(d_rs,d_month,D$5)/SUMIFS(d_rc,d_month,D$5)</f>
        <v>4.74247509115823</v>
      </c>
      <c r="E23" s="47">
        <f>SUMIFS(d_rs,d_month,E$5)/SUMIFS(d_rc,d_month,E$5)</f>
        <v>4.73001425264126</v>
      </c>
      <c r="F23" s="49">
        <f>E23-D23</f>
        <v>-0.0124608385169687</v>
      </c>
      <c r="G23" s="50">
        <f>IF(INDEX(tg_dir,MATCH($A23,tg_key,0))="Info","–",INDEX(tg_target,MATCH($A23,tg_key,0)))</f>
        <v>4.7</v>
      </c>
      <c r="H23" s="37" t="str">
        <f>IF(OR(INDEX(tg_dir,MATCH($A23,tg_key,0))="Info",G23="–"),"Info",IF(INDEX(tg_dir,MATCH($A23,tg_key,0))="Higher",IF(E23&gt;=G23,"Green",IF(E23&gt;=G23*(1-amber_band),"Amber","Red")),IF(E23&lt;=G23,"Green",IF(E23&lt;=G23*(1+amber_band),"Amber","Red"))))</f>
        <v>Green</v>
      </c>
      <c r="I23" s="38" t="str">
        <f>INDEX(tg_owner,MATCH($A23,tg_key,0))</f>
        <v>Training &amp; QA</v>
      </c>
    </row>
    <row r="24">
      <c r="A24" s="31" t="inlineStr">
        <is>
          <t>cpk</t>
        </is>
      </c>
      <c r="B24" s="39" t="inlineStr">
        <is>
          <t>Complaints per 1,000 jobs</t>
        </is>
      </c>
      <c r="C24" s="52">
        <f>SUMIFS(d_cpl,d_month,C$5)/SUMIFS(d_comp,d_month,C$5)*1000</f>
        <v>7.77806296102041</v>
      </c>
      <c r="D24" s="52">
        <f>SUMIFS(d_cpl,d_month,D$5)/SUMIFS(d_comp,d_month,D$5)*1000</f>
        <v>7.89926903896421</v>
      </c>
      <c r="E24" s="51">
        <f>SUMIFS(d_cpl,d_month,E$5)/SUMIFS(d_comp,d_month,E$5)*1000</f>
        <v>8.63557050433416</v>
      </c>
      <c r="F24" s="53">
        <f>E24-D24</f>
        <v>0.736301465369944</v>
      </c>
      <c r="G24" s="54">
        <f>IF(INDEX(tg_dir,MATCH($A24,tg_key,0))="Info","–",INDEX(tg_target,MATCH($A24,tg_key,0)))</f>
        <v>8</v>
      </c>
      <c r="H24" s="37" t="str">
        <f>IF(OR(INDEX(tg_dir,MATCH($A24,tg_key,0))="Info",G24="–"),"Info",IF(INDEX(tg_dir,MATCH($A24,tg_key,0))="Higher",IF(E24&gt;=G24,"Green",IF(E24&gt;=G24*(1-amber_band),"Amber","Red")),IF(E24&lt;=G24,"Green",IF(E24&lt;=G24*(1+amber_band),"Amber","Red"))))</f>
        <v>Red</v>
      </c>
      <c r="I24" s="38" t="str">
        <f>INDEX(tg_owner,MATCH($A24,tg_key,0))</f>
        <v>CX</v>
      </c>
    </row>
    <row r="25">
      <c r="A25" s="31" t="inlineStr">
        <is>
          <t>redo</t>
        </is>
      </c>
      <c r="B25" s="39" t="inlineStr">
        <is>
          <t>Redo / refund rate</t>
        </is>
      </c>
      <c r="C25" s="34">
        <f>SUMIFS(d_redo,d_month,C$5)/SUMIFS(d_comp,d_month,C$5)</f>
        <v>0.00974954711661143</v>
      </c>
      <c r="D25" s="34">
        <f>SUMIFS(d_redo,d_month,D$5)/SUMIFS(d_comp,d_month,D$5)</f>
        <v>0.0100026247002269</v>
      </c>
      <c r="E25" s="33">
        <f>SUMIFS(d_redo,d_month,E$5)/SUMIFS(d_comp,d_month,E$5)</f>
        <v>0.0103336810639622</v>
      </c>
      <c r="F25" s="35">
        <f>(E25-D25)*100</f>
        <v>0.033105636373529</v>
      </c>
      <c r="G25" s="36">
        <f>IF(INDEX(tg_dir,MATCH($A25,tg_key,0))="Info","–",INDEX(tg_target,MATCH($A25,tg_key,0)))</f>
        <v>0.012</v>
      </c>
      <c r="H25" s="37" t="str">
        <f>IF(OR(INDEX(tg_dir,MATCH($A25,tg_key,0))="Info",G25="–"),"Info",IF(INDEX(tg_dir,MATCH($A25,tg_key,0))="Higher",IF(E25&gt;=G25,"Green",IF(E25&gt;=G25*(1-amber_band),"Amber","Red")),IF(E25&lt;=G25,"Green",IF(E25&lt;=G25*(1+amber_band),"Amber","Red"))))</f>
        <v>Green</v>
      </c>
      <c r="I25" s="38" t="str">
        <f>INDEX(tg_owner,MATCH($A25,tg_key,0))</f>
        <v>CX</v>
      </c>
    </row>
    <row r="26">
      <c r="B26" s="27" t="inlineStr">
        <is>
          <t>Kits</t>
        </is>
      </c>
      <c r="C26" s="28" t="n"/>
      <c r="D26" s="28" t="n"/>
      <c r="E26" s="28" t="n"/>
      <c r="F26" s="28" t="n"/>
      <c r="G26" s="28" t="n"/>
      <c r="H26" s="28" t="n"/>
      <c r="I26" s="28" t="n"/>
    </row>
    <row r="27">
      <c r="A27" s="31" t="inlineStr">
        <is>
          <t>kit</t>
        </is>
      </c>
      <c r="B27" s="39" t="inlineStr">
        <is>
          <t>Partners with a kit stock-out</t>
        </is>
      </c>
      <c r="C27" s="34">
        <f>SUMIFS(d_stock,d_month,C$5)/SUMIFS(d_act,d_month,C$5)</f>
        <v>0.0167658382919146</v>
      </c>
      <c r="D27" s="34">
        <f>SUMIFS(d_stock,d_month,D$5)/SUMIFS(d_act,d_month,D$5)</f>
        <v>0.0189838654308273</v>
      </c>
      <c r="E27" s="33">
        <f>SUMIFS(d_stock,d_month,E$5)/SUMIFS(d_act,d_month,E$5)</f>
        <v>0.025</v>
      </c>
      <c r="F27" s="35">
        <f>(E27-D27)*100</f>
        <v>0.601613456917268</v>
      </c>
      <c r="G27" s="36">
        <f>IF(INDEX(tg_dir,MATCH($A27,tg_key,0))="Info","–",INDEX(tg_target,MATCH($A27,tg_key,0)))</f>
        <v>0.02</v>
      </c>
      <c r="H27" s="37" t="str">
        <f>IF(OR(INDEX(tg_dir,MATCH($A27,tg_key,0))="Info",G27="–"),"Info",IF(INDEX(tg_dir,MATCH($A27,tg_key,0))="Higher",IF(E27&gt;=G27,"Green",IF(E27&gt;=G27*(1-amber_band),"Amber","Red")),IF(E27&lt;=G27,"Green",IF(E27&lt;=G27*(1+amber_band),"Amber","Red"))))</f>
        <v>Red</v>
      </c>
      <c r="I27" s="38" t="str">
        <f>INDEX(tg_owner,MATCH($A27,tg_key,0))</f>
        <v>Inventory</v>
      </c>
    </row>
    <row r="29">
      <c r="B29" s="19" t="inlineStr">
        <is>
          <t>Oct is 3 weeks to date (W40–W42). Jul has only W31 in this extract, so it is left out.</t>
        </is>
      </c>
    </row>
  </sheetData>
  <conditionalFormatting sqref="H8:H27">
    <cfRule type="expression" priority="1" dxfId="0">
      <formula>H8="Green"</formula>
    </cfRule>
    <cfRule type="expression" priority="2" dxfId="1">
      <formula>H8="Amber"</formula>
    </cfRule>
    <cfRule type="expression" priority="3" dxfId="2">
      <formula>H8="Red"</formula>
    </cfRule>
    <cfRule type="expression" priority="4" dxfId="3">
      <formula>H8="Info"</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tabColor rgb="002A78D6"/>
    <outlinePr summaryBelow="1" summaryRight="1"/>
    <pageSetUpPr fitToPage="1"/>
  </sheetPr>
  <dimension ref="B1:O42"/>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 customWidth="1" min="1" max="1"/>
    <col width="20" customWidth="1" min="2" max="2"/>
    <col width="11" customWidth="1" min="3" max="3"/>
    <col width="11" customWidth="1" min="4" max="4"/>
    <col width="10" customWidth="1" min="5" max="5"/>
    <col width="10" customWidth="1" min="6" max="6"/>
    <col width="10" customWidth="1" min="7" max="7"/>
    <col width="10" customWidth="1" min="8" max="8"/>
    <col width="11" customWidth="1" min="9" max="9"/>
    <col width="11" customWidth="1" min="10" max="10"/>
    <col width="11" customWidth="1" min="11" max="11"/>
    <col width="11" customWidth="1" min="12" max="12"/>
    <col width="10" customWidth="1" min="13" max="13"/>
    <col width="11" customWidth="1" min="14" max="14"/>
    <col width="11" customWidth="1" min="15" max="15"/>
  </cols>
  <sheetData>
    <row r="1" ht="26" customHeight="1">
      <c r="B1" s="20" t="inlineStr">
        <is>
          <t>City view</t>
        </is>
      </c>
    </row>
    <row r="2">
      <c r="B2" s="19" t="inlineStr">
        <is>
          <t>Same formulas as the Weekly MIS, split by city. Week follows the Weekly MIS tab.</t>
        </is>
      </c>
    </row>
    <row r="4">
      <c r="B4" s="21" t="inlineStr">
        <is>
          <t>Week</t>
        </is>
      </c>
      <c r="C4" s="72">
        <f>sel_week</f>
        <v>42</v>
      </c>
    </row>
    <row r="6" ht="30" customHeight="1">
      <c r="B6" s="25" t="inlineStr">
        <is>
          <t>City</t>
        </is>
      </c>
      <c r="C6" s="26" t="inlineStr">
        <is>
          <t>Requests</t>
        </is>
      </c>
      <c r="D6" s="26" t="inlineStr">
        <is>
          <t>Requests last wk</t>
        </is>
      </c>
      <c r="E6" s="26" t="inlineStr">
        <is>
          <t>vs last wk</t>
        </is>
      </c>
      <c r="F6" s="26" t="inlineStr">
        <is>
          <t>Fill rate</t>
        </is>
      </c>
      <c r="G6" s="26" t="inlineStr">
        <is>
          <t>On-time arrival</t>
        </is>
      </c>
      <c r="H6" s="26" t="inlineStr">
        <is>
          <t>Cust. cancel</t>
        </is>
      </c>
      <c r="I6" s="26" t="inlineStr">
        <is>
          <t>Partner cancel</t>
        </is>
      </c>
      <c r="J6" s="26" t="inlineStr">
        <is>
          <t>Jobs / partner / day</t>
        </is>
      </c>
      <c r="K6" s="26" t="inlineStr">
        <is>
          <t>Complaints / 1,000</t>
        </is>
      </c>
      <c r="L6" s="26" t="inlineStr">
        <is>
          <t>Kit stock-out</t>
        </is>
      </c>
      <c r="M6" s="26" t="inlineStr">
        <is>
          <t>Perfect rate</t>
        </is>
      </c>
      <c r="N6" s="26" t="inlineStr">
        <is>
          <t>Unfilled requests</t>
        </is>
      </c>
      <c r="O6" s="26" t="inlineStr">
        <is>
          <t>GMV (₹ lakh)</t>
        </is>
      </c>
    </row>
    <row r="7">
      <c r="B7" s="39" t="inlineStr">
        <is>
          <t>Delhi</t>
        </is>
      </c>
      <c r="C7" s="41">
        <f>SUMIFS(d_req,d_week,$C$4,d_city,$B7)</f>
        <v>13828</v>
      </c>
      <c r="D7" s="41">
        <f>SUMIFS(d_req,d_week,$C$4-1,d_city,$B7)</f>
        <v>13676</v>
      </c>
      <c r="E7" s="42">
        <f>C7/D7-1</f>
        <v>0.0111143609242468</v>
      </c>
      <c r="F7" s="34">
        <f>SUMIFS(d_asg,d_week,$C$4,d_city,$B7)/SUMIFS(d_req,d_week,$C$4,d_city,$B7)</f>
        <v>0.922982354642754</v>
      </c>
      <c r="G7" s="34">
        <f>SUMIFS(d_ot,d_week,$C$4,d_city,$B7)/SUMIFS(d_comp,d_week,$C$4,d_city,$B7)</f>
        <v>0.88501997879801</v>
      </c>
      <c r="H7" s="34">
        <f>SUMIFS(d_cc,d_week,$C$4,d_city,$B7)/SUMIFS(d_asg,d_week,$C$4,d_city,$B7)</f>
        <v>0.026482801849095</v>
      </c>
      <c r="I7" s="34">
        <f>SUMIFS(d_pc,d_week,$C$4,d_city,$B7)/SUMIFS(d_asg,d_week,$C$4,d_city,$B7)</f>
        <v>0.0126929405312231</v>
      </c>
      <c r="J7" s="48">
        <f>SUMIFS(d_comp,d_week,$C$4,d_city,$B7)/(SUMIFS(d_act,d_week,$C$4,d_city,$B7)*6)</f>
        <v>1.59549830861306</v>
      </c>
      <c r="K7" s="52">
        <f>SUMIFS(d_cpl,d_week,$C$4,d_city,$B7)/SUMIFS(d_comp,d_week,$C$4,d_city,$B7)*1000</f>
        <v>8.07306531843758</v>
      </c>
      <c r="L7" s="34">
        <f>SUMIFS(d_stock,d_week,$C$4,d_city,$B7)/SUMIFS(d_act,d_week,$C$4,d_city,$B7)</f>
        <v>0.0343481654957065</v>
      </c>
      <c r="M7" s="34">
        <f>SUMIFS(d_perf,d_week,$C$4,d_city,$B7)/SUMIFS(d_req,d_week,$C$4,d_city,$B7)</f>
        <v>0.762076945328319</v>
      </c>
      <c r="N7" s="41">
        <f>SUMIFS(d_req,d_week,$C$4,d_city,$B7)-SUMIFS(d_asg,d_week,$C$4,d_city,$B7)</f>
        <v>1065</v>
      </c>
      <c r="O7" s="73">
        <f>SUMIFS(d_gmv,d_week,$C$4,d_city,$B7)/100000</f>
        <v>164.3242</v>
      </c>
    </row>
    <row r="8">
      <c r="B8" s="39" t="inlineStr">
        <is>
          <t>Gurugram</t>
        </is>
      </c>
      <c r="C8" s="41">
        <f>SUMIFS(d_req,d_week,$C$4,d_city,$B8)</f>
        <v>9790</v>
      </c>
      <c r="D8" s="41">
        <f>SUMIFS(d_req,d_week,$C$4-1,d_city,$B8)</f>
        <v>9476</v>
      </c>
      <c r="E8" s="42">
        <f>C8/D8-1</f>
        <v>0.0331363444491346</v>
      </c>
      <c r="F8" s="34">
        <f>SUMIFS(d_asg,d_week,$C$4,d_city,$B8)/SUMIFS(d_req,d_week,$C$4,d_city,$B8)</f>
        <v>0.908988764044944</v>
      </c>
      <c r="G8" s="34">
        <f>SUMIFS(d_ot,d_week,$C$4,d_city,$B8)/SUMIFS(d_comp,d_week,$C$4,d_city,$B8)</f>
        <v>0.871635363081708</v>
      </c>
      <c r="H8" s="34">
        <f>SUMIFS(d_cc,d_week,$C$4,d_city,$B8)/SUMIFS(d_asg,d_week,$C$4,d_city,$B8)</f>
        <v>0.0311270929317901</v>
      </c>
      <c r="I8" s="34">
        <f>SUMIFS(d_pc,d_week,$C$4,d_city,$B8)/SUMIFS(d_asg,d_week,$C$4,d_city,$B8)</f>
        <v>0.0295538824587032</v>
      </c>
      <c r="J8" s="48">
        <f>SUMIFS(d_comp,d_week,$C$4,d_city,$B8)/(SUMIFS(d_act,d_week,$C$4,d_city,$B8)*6)</f>
        <v>1.6448248720976</v>
      </c>
      <c r="K8" s="52">
        <f>SUMIFS(d_cpl,d_week,$C$4,d_city,$B8)/SUMIFS(d_comp,d_week,$C$4,d_city,$B8)*1000</f>
        <v>19.6195717191052</v>
      </c>
      <c r="L8" s="34">
        <f>SUMIFS(d_stock,d_week,$C$4,d_city,$B8)/SUMIFS(d_act,d_week,$C$4,d_city,$B8)</f>
        <v>0.0684769775678867</v>
      </c>
      <c r="M8" s="34">
        <f>SUMIFS(d_perf,d_week,$C$4,d_city,$B8)/SUMIFS(d_req,d_week,$C$4,d_city,$B8)</f>
        <v>0.707967313585291</v>
      </c>
      <c r="N8" s="41">
        <f>SUMIFS(d_req,d_week,$C$4,d_city,$B8)-SUMIFS(d_asg,d_week,$C$4,d_city,$B8)</f>
        <v>891</v>
      </c>
      <c r="O8" s="73">
        <f>SUMIFS(d_gmv,d_week,$C$4,d_city,$B8)/100000</f>
        <v>118.6978</v>
      </c>
    </row>
    <row r="9">
      <c r="B9" s="39" t="inlineStr">
        <is>
          <t>Noida &amp; Ghaziabad</t>
        </is>
      </c>
      <c r="C9" s="41">
        <f>SUMIFS(d_req,d_week,$C$4,d_city,$B9)</f>
        <v>8856</v>
      </c>
      <c r="D9" s="41">
        <f>SUMIFS(d_req,d_week,$C$4-1,d_city,$B9)</f>
        <v>8826</v>
      </c>
      <c r="E9" s="42">
        <f>C9/D9-1</f>
        <v>0.00339904826648541</v>
      </c>
      <c r="F9" s="34">
        <f>SUMIFS(d_asg,d_week,$C$4,d_city,$B9)/SUMIFS(d_req,d_week,$C$4,d_city,$B9)</f>
        <v>0.932023486901536</v>
      </c>
      <c r="G9" s="34">
        <f>SUMIFS(d_ot,d_week,$C$4,d_city,$B9)/SUMIFS(d_comp,d_week,$C$4,d_city,$B9)</f>
        <v>0.880245649948823</v>
      </c>
      <c r="H9" s="34">
        <f>SUMIFS(d_cc,d_week,$C$4,d_city,$B9)/SUMIFS(d_asg,d_week,$C$4,d_city,$B9)</f>
        <v>0.0283498909619578</v>
      </c>
      <c r="I9" s="34">
        <f>SUMIFS(d_pc,d_week,$C$4,d_city,$B9)/SUMIFS(d_asg,d_week,$C$4,d_city,$B9)</f>
        <v>0.0247152895565786</v>
      </c>
      <c r="J9" s="48">
        <f>SUMIFS(d_comp,d_week,$C$4,d_city,$B9)/(SUMIFS(d_act,d_week,$C$4,d_city,$B9)*6)</f>
        <v>1.56382553021209</v>
      </c>
      <c r="K9" s="52">
        <f>SUMIFS(d_cpl,d_week,$C$4,d_city,$B9)/SUMIFS(d_comp,d_week,$C$4,d_city,$B9)*1000</f>
        <v>11.1310133060389</v>
      </c>
      <c r="L9" s="34">
        <f>SUMIFS(d_stock,d_week,$C$4,d_city,$B9)/SUMIFS(d_act,d_week,$C$4,d_city,$B9)</f>
        <v>0.0516206482593037</v>
      </c>
      <c r="M9" s="34">
        <f>SUMIFS(d_perf,d_week,$C$4,d_city,$B9)/SUMIFS(d_req,d_week,$C$4,d_city,$B9)</f>
        <v>0.750451671183379</v>
      </c>
      <c r="N9" s="41">
        <f>SUMIFS(d_req,d_week,$C$4,d_city,$B9)-SUMIFS(d_asg,d_week,$C$4,d_city,$B9)</f>
        <v>602</v>
      </c>
      <c r="O9" s="73">
        <f>SUMIFS(d_gmv,d_week,$C$4,d_city,$B9)/100000</f>
        <v>102.3896</v>
      </c>
    </row>
    <row r="10">
      <c r="B10" s="39" t="inlineStr">
        <is>
          <t>Mumbai</t>
        </is>
      </c>
      <c r="C10" s="41">
        <f>SUMIFS(d_req,d_week,$C$4,d_city,$B10)</f>
        <v>11359</v>
      </c>
      <c r="D10" s="41">
        <f>SUMIFS(d_req,d_week,$C$4-1,d_city,$B10)</f>
        <v>11247</v>
      </c>
      <c r="E10" s="42">
        <f>C10/D10-1</f>
        <v>0.00995821107850992</v>
      </c>
      <c r="F10" s="34">
        <f>SUMIFS(d_asg,d_week,$C$4,d_city,$B10)/SUMIFS(d_req,d_week,$C$4,d_city,$B10)</f>
        <v>0.882560084514482</v>
      </c>
      <c r="G10" s="34">
        <f>SUMIFS(d_ot,d_week,$C$4,d_city,$B10)/SUMIFS(d_comp,d_week,$C$4,d_city,$B10)</f>
        <v>0.877323810524105</v>
      </c>
      <c r="H10" s="34">
        <f>SUMIFS(d_cc,d_week,$C$4,d_city,$B10)/SUMIFS(d_asg,d_week,$C$4,d_city,$B10)</f>
        <v>0.0373067331670823</v>
      </c>
      <c r="I10" s="34">
        <f>SUMIFS(d_pc,d_week,$C$4,d_city,$B10)/SUMIFS(d_asg,d_week,$C$4,d_city,$B10)</f>
        <v>0.0129675810473815</v>
      </c>
      <c r="J10" s="48">
        <f>SUMIFS(d_comp,d_week,$C$4,d_city,$B10)/(SUMIFS(d_act,d_week,$C$4,d_city,$B10)*6)</f>
        <v>1.75534660766962</v>
      </c>
      <c r="K10" s="52">
        <f>SUMIFS(d_cpl,d_week,$C$4,d_city,$B10)/SUMIFS(d_comp,d_week,$C$4,d_city,$B10)*1000</f>
        <v>7.98235479466443</v>
      </c>
      <c r="L10" s="34">
        <f>SUMIFS(d_stock,d_week,$C$4,d_city,$B10)/SUMIFS(d_act,d_week,$C$4,d_city,$B10)</f>
        <v>0.0221238938053097</v>
      </c>
      <c r="M10" s="34">
        <f>SUMIFS(d_perf,d_week,$C$4,d_city,$B10)/SUMIFS(d_req,d_week,$C$4,d_city,$B10)</f>
        <v>0.713531120697244</v>
      </c>
      <c r="N10" s="41">
        <f>SUMIFS(d_req,d_week,$C$4,d_city,$B10)-SUMIFS(d_asg,d_week,$C$4,d_city,$B10)</f>
        <v>1334</v>
      </c>
      <c r="O10" s="73">
        <f>SUMIFS(d_gmv,d_week,$C$4,d_city,$B10)/100000</f>
        <v>139.0066</v>
      </c>
    </row>
    <row r="11">
      <c r="B11" s="39" t="inlineStr">
        <is>
          <t>Bengaluru</t>
        </is>
      </c>
      <c r="C11" s="41">
        <f>SUMIFS(d_req,d_week,$C$4,d_city,$B11)</f>
        <v>9640</v>
      </c>
      <c r="D11" s="41">
        <f>SUMIFS(d_req,d_week,$C$4-1,d_city,$B11)</f>
        <v>9252</v>
      </c>
      <c r="E11" s="42">
        <f>C11/D11-1</f>
        <v>0.0419368785127541</v>
      </c>
      <c r="F11" s="34">
        <f>SUMIFS(d_asg,d_week,$C$4,d_city,$B11)/SUMIFS(d_req,d_week,$C$4,d_city,$B11)</f>
        <v>0.888485477178423</v>
      </c>
      <c r="G11" s="34">
        <f>SUMIFS(d_ot,d_week,$C$4,d_city,$B11)/SUMIFS(d_comp,d_week,$C$4,d_city,$B11)</f>
        <v>0.872576515059139</v>
      </c>
      <c r="H11" s="34">
        <f>SUMIFS(d_cc,d_week,$C$4,d_city,$B11)/SUMIFS(d_asg,d_week,$C$4,d_city,$B11)</f>
        <v>0.0288382953882078</v>
      </c>
      <c r="I11" s="34">
        <f>SUMIFS(d_pc,d_week,$C$4,d_city,$B11)/SUMIFS(d_asg,d_week,$C$4,d_city,$B11)</f>
        <v>0.0136602451838879</v>
      </c>
      <c r="J11" s="48">
        <f>SUMIFS(d_comp,d_week,$C$4,d_city,$B11)/(SUMIFS(d_act,d_week,$C$4,d_city,$B11)*6)</f>
        <v>1.69162541254125</v>
      </c>
      <c r="K11" s="52">
        <f>SUMIFS(d_cpl,d_week,$C$4,d_city,$B11)/SUMIFS(d_comp,d_week,$C$4,d_city,$B11)*1000</f>
        <v>8.41360809657359</v>
      </c>
      <c r="L11" s="34">
        <f>SUMIFS(d_stock,d_week,$C$4,d_city,$B11)/SUMIFS(d_act,d_week,$C$4,d_city,$B11)</f>
        <v>0.0222772277227723</v>
      </c>
      <c r="M11" s="34">
        <f>SUMIFS(d_perf,d_week,$C$4,d_city,$B11)/SUMIFS(d_req,d_week,$C$4,d_city,$B11)</f>
        <v>0.720331950207469</v>
      </c>
      <c r="N11" s="41">
        <f>SUMIFS(d_req,d_week,$C$4,d_city,$B11)-SUMIFS(d_asg,d_week,$C$4,d_city,$B11)</f>
        <v>1075</v>
      </c>
      <c r="O11" s="73">
        <f>SUMIFS(d_gmv,d_week,$C$4,d_city,$B11)/100000</f>
        <v>115.6341</v>
      </c>
    </row>
    <row r="12">
      <c r="B12" s="39" t="inlineStr">
        <is>
          <t>Hyderabad</t>
        </is>
      </c>
      <c r="C12" s="41">
        <f>SUMIFS(d_req,d_week,$C$4,d_city,$B12)</f>
        <v>6553</v>
      </c>
      <c r="D12" s="41">
        <f>SUMIFS(d_req,d_week,$C$4-1,d_city,$B12)</f>
        <v>6462</v>
      </c>
      <c r="E12" s="42">
        <f>C12/D12-1</f>
        <v>0.014082327452801</v>
      </c>
      <c r="F12" s="34">
        <f>SUMIFS(d_asg,d_week,$C$4,d_city,$B12)/SUMIFS(d_req,d_week,$C$4,d_city,$B12)</f>
        <v>0.946131542804822</v>
      </c>
      <c r="G12" s="34">
        <f>SUMIFS(d_ot,d_week,$C$4,d_city,$B12)/SUMIFS(d_comp,d_week,$C$4,d_city,$B12)</f>
        <v>0.905736330090574</v>
      </c>
      <c r="H12" s="34">
        <f>SUMIFS(d_cc,d_week,$C$4,d_city,$B12)/SUMIFS(d_asg,d_week,$C$4,d_city,$B12)</f>
        <v>0.027258064516129</v>
      </c>
      <c r="I12" s="34">
        <f>SUMIFS(d_pc,d_week,$C$4,d_city,$B12)/SUMIFS(d_asg,d_week,$C$4,d_city,$B12)</f>
        <v>0.0111290322580645</v>
      </c>
      <c r="J12" s="48">
        <f>SUMIFS(d_comp,d_week,$C$4,d_city,$B12)/(SUMIFS(d_act,d_week,$C$4,d_city,$B12)*6)</f>
        <v>1.57975622681505</v>
      </c>
      <c r="K12" s="52">
        <f>SUMIFS(d_cpl,d_week,$C$4,d_city,$B12)/SUMIFS(d_comp,d_week,$C$4,d_city,$B12)*1000</f>
        <v>7.04461590070446</v>
      </c>
      <c r="L12" s="34">
        <f>SUMIFS(d_stock,d_week,$C$4,d_city,$B12)/SUMIFS(d_act,d_week,$C$4,d_city,$B12)</f>
        <v>0.0206677265500795</v>
      </c>
      <c r="M12" s="34">
        <f>SUMIFS(d_perf,d_week,$C$4,d_city,$B12)/SUMIFS(d_req,d_week,$C$4,d_city,$B12)</f>
        <v>0.799328551808332</v>
      </c>
      <c r="N12" s="41">
        <f>SUMIFS(d_req,d_week,$C$4,d_city,$B12)-SUMIFS(d_asg,d_week,$C$4,d_city,$B12)</f>
        <v>353</v>
      </c>
      <c r="O12" s="73">
        <f>SUMIFS(d_gmv,d_week,$C$4,d_city,$B12)/100000</f>
        <v>77.506</v>
      </c>
    </row>
    <row r="13">
      <c r="B13" s="39" t="inlineStr">
        <is>
          <t>Pune</t>
        </is>
      </c>
      <c r="C13" s="41">
        <f>SUMIFS(d_req,d_week,$C$4,d_city,$B13)</f>
        <v>4773</v>
      </c>
      <c r="D13" s="41">
        <f>SUMIFS(d_req,d_week,$C$4-1,d_city,$B13)</f>
        <v>4828</v>
      </c>
      <c r="E13" s="42">
        <f>C13/D13-1</f>
        <v>-0.0113918806959403</v>
      </c>
      <c r="F13" s="34">
        <f>SUMIFS(d_asg,d_week,$C$4,d_city,$B13)/SUMIFS(d_req,d_week,$C$4,d_city,$B13)</f>
        <v>0.934422794887911</v>
      </c>
      <c r="G13" s="34">
        <f>SUMIFS(d_ot,d_week,$C$4,d_city,$B13)/SUMIFS(d_comp,d_week,$C$4,d_city,$B13)</f>
        <v>0.885647607934656</v>
      </c>
      <c r="H13" s="34">
        <f>SUMIFS(d_cc,d_week,$C$4,d_city,$B13)/SUMIFS(d_asg,d_week,$C$4,d_city,$B13)</f>
        <v>0.0275784753363229</v>
      </c>
      <c r="I13" s="34">
        <f>SUMIFS(d_pc,d_week,$C$4,d_city,$B13)/SUMIFS(d_asg,d_week,$C$4,d_city,$B13)</f>
        <v>0.0116591928251121</v>
      </c>
      <c r="J13" s="48">
        <f>SUMIFS(d_comp,d_week,$C$4,d_city,$B13)/(SUMIFS(d_act,d_week,$C$4,d_city,$B13)*6)</f>
        <v>1.54916847433116</v>
      </c>
      <c r="K13" s="52">
        <f>SUMIFS(d_cpl,d_week,$C$4,d_city,$B13)/SUMIFS(d_comp,d_week,$C$4,d_city,$B13)*1000</f>
        <v>6.76779463243874</v>
      </c>
      <c r="L13" s="34">
        <f>SUMIFS(d_stock,d_week,$C$4,d_city,$B13)/SUMIFS(d_act,d_week,$C$4,d_city,$B13)</f>
        <v>0.017353579175705</v>
      </c>
      <c r="M13" s="34">
        <f>SUMIFS(d_perf,d_week,$C$4,d_city,$B13)/SUMIFS(d_req,d_week,$C$4,d_city,$B13)</f>
        <v>0.773517703750262</v>
      </c>
      <c r="N13" s="41">
        <f>SUMIFS(d_req,d_week,$C$4,d_city,$B13)-SUMIFS(d_asg,d_week,$C$4,d_city,$B13)</f>
        <v>313</v>
      </c>
      <c r="O13" s="73">
        <f>SUMIFS(d_gmv,d_week,$C$4,d_city,$B13)/100000</f>
        <v>56.9905</v>
      </c>
    </row>
    <row r="14">
      <c r="B14" s="39" t="inlineStr">
        <is>
          <t>Rest of India</t>
        </is>
      </c>
      <c r="C14" s="41">
        <f>SUMIFS(d_req,d_week,$C$4,d_city,$B14)</f>
        <v>16601</v>
      </c>
      <c r="D14" s="41">
        <f>SUMIFS(d_req,d_week,$C$4-1,d_city,$B14)</f>
        <v>16133</v>
      </c>
      <c r="E14" s="42">
        <f>C14/D14-1</f>
        <v>0.0290088638195003</v>
      </c>
      <c r="F14" s="34">
        <f>SUMIFS(d_asg,d_week,$C$4,d_city,$B14)/SUMIFS(d_req,d_week,$C$4,d_city,$B14)</f>
        <v>0.927414011204144</v>
      </c>
      <c r="G14" s="34">
        <f>SUMIFS(d_ot,d_week,$C$4,d_city,$B14)/SUMIFS(d_comp,d_week,$C$4,d_city,$B14)</f>
        <v>0.893530723991077</v>
      </c>
      <c r="H14" s="34">
        <f>SUMIFS(d_cc,d_week,$C$4,d_city,$B14)/SUMIFS(d_asg,d_week,$C$4,d_city,$B14)</f>
        <v>0.026175630033775</v>
      </c>
      <c r="I14" s="34">
        <f>SUMIFS(d_pc,d_week,$C$4,d_city,$B14)/SUMIFS(d_asg,d_week,$C$4,d_city,$B14)</f>
        <v>0.012990387113536</v>
      </c>
      <c r="J14" s="48">
        <f>SUMIFS(d_comp,d_week,$C$4,d_city,$B14)/(SUMIFS(d_act,d_week,$C$4,d_city,$B14)*6)</f>
        <v>1.43593476994758</v>
      </c>
      <c r="K14" s="52">
        <f>SUMIFS(d_cpl,d_week,$C$4,d_city,$B14)/SUMIFS(d_comp,d_week,$C$4,d_city,$B14)*1000</f>
        <v>8.92313932265261</v>
      </c>
      <c r="L14" s="34">
        <f>SUMIFS(d_stock,d_week,$C$4,d_city,$B14)/SUMIFS(d_act,d_week,$C$4,d_city,$B14)</f>
        <v>0.0203843913803145</v>
      </c>
      <c r="M14" s="34">
        <f>SUMIFS(d_perf,d_week,$C$4,d_city,$B14)/SUMIFS(d_req,d_week,$C$4,d_city,$B14)</f>
        <v>0.77133907595928</v>
      </c>
      <c r="N14" s="41">
        <f>SUMIFS(d_req,d_week,$C$4,d_city,$B14)-SUMIFS(d_asg,d_week,$C$4,d_city,$B14)</f>
        <v>1205</v>
      </c>
      <c r="O14" s="73">
        <f>SUMIFS(d_gmv,d_week,$C$4,d_city,$B14)/100000</f>
        <v>183.4332</v>
      </c>
    </row>
    <row r="15">
      <c r="B15" s="32" t="inlineStr">
        <is>
          <t>All India</t>
        </is>
      </c>
      <c r="C15" s="40">
        <f>SUMIFS(d_req,d_week,$C$4)</f>
        <v>81400</v>
      </c>
      <c r="D15" s="40">
        <f>SUMIFS(d_req,d_week,$C$4-1)</f>
        <v>79900</v>
      </c>
      <c r="E15" s="74">
        <f>C15/D15-1</f>
        <v>0.018773466833542</v>
      </c>
      <c r="F15" s="33">
        <f>SUMIFS(d_asg,d_week,$C$4)/SUMIFS(d_req,d_week,$C$4)</f>
        <v>0.915995085995086</v>
      </c>
      <c r="G15" s="33">
        <f>SUMIFS(d_ot,d_week,$C$4)/SUMIFS(d_comp,d_week,$C$4)</f>
        <v>0.884002808988764</v>
      </c>
      <c r="H15" s="33">
        <f>SUMIFS(d_cc,d_week,$C$4)/SUMIFS(d_asg,d_week,$C$4)</f>
        <v>0.0290362382983289</v>
      </c>
      <c r="I15" s="33">
        <f>SUMIFS(d_pc,d_week,$C$4)/SUMIFS(d_asg,d_week,$C$4)</f>
        <v>0.0160537539229098</v>
      </c>
      <c r="J15" s="47">
        <f>SUMIFS(d_comp,d_week,$C$4)/(SUMIFS(d_act,d_week,$C$4)*6)</f>
        <v>1.58645276292335</v>
      </c>
      <c r="K15" s="51">
        <f>SUMIFS(d_cpl,d_week,$C$4)/SUMIFS(d_comp,d_week,$C$4)*1000</f>
        <v>9.80337078651685</v>
      </c>
      <c r="L15" s="33">
        <f>SUMIFS(d_stock,d_week,$C$4)/SUMIFS(d_act,d_week,$C$4)</f>
        <v>0.031951871657754</v>
      </c>
      <c r="M15" s="33">
        <f>SUMIFS(d_perf,d_week,$C$4)/SUMIFS(d_req,d_week,$C$4)</f>
        <v>0.748144963144963</v>
      </c>
      <c r="N15" s="40">
        <f>SUMIFS(d_req,d_week,$C$4)-SUMIFS(d_asg,d_week,$C$4)</f>
        <v>6838</v>
      </c>
      <c r="O15" s="75">
        <f>SUMIFS(d_gmv,d_week,$C$4)/100000</f>
        <v>957.982</v>
      </c>
    </row>
    <row r="16">
      <c r="B16" s="19" t="inlineStr">
        <is>
          <t>Cell colour = status against the Targets tab. All India sums the city counts first, then divides.</t>
        </is>
      </c>
    </row>
    <row r="19">
      <c r="B19" s="8" t="inlineStr">
        <is>
          <t>Week 42 by day and slot: requests, partner assigned and fill rate</t>
        </is>
      </c>
    </row>
    <row r="20" ht="30" customHeight="1">
      <c r="B20" s="25" t="inlineStr">
        <is>
          <t>Requests</t>
        </is>
      </c>
      <c r="C20" s="26" t="inlineStr">
        <is>
          <t>8–11</t>
        </is>
      </c>
      <c r="D20" s="26" t="inlineStr">
        <is>
          <t>11–14</t>
        </is>
      </c>
      <c r="E20" s="26" t="inlineStr">
        <is>
          <t>14–17</t>
        </is>
      </c>
      <c r="F20" s="26" t="inlineStr">
        <is>
          <t>17–20</t>
        </is>
      </c>
      <c r="G20" s="26" t="inlineStr">
        <is>
          <t>20–22</t>
        </is>
      </c>
      <c r="I20" s="25" t="inlineStr">
        <is>
          <t>Assigned</t>
        </is>
      </c>
      <c r="J20" s="26" t="inlineStr">
        <is>
          <t>8–11</t>
        </is>
      </c>
      <c r="K20" s="26" t="inlineStr">
        <is>
          <t>11–14</t>
        </is>
      </c>
      <c r="L20" s="26" t="inlineStr">
        <is>
          <t>14–17</t>
        </is>
      </c>
      <c r="M20" s="26" t="inlineStr">
        <is>
          <t>17–20</t>
        </is>
      </c>
      <c r="N20" s="26" t="inlineStr">
        <is>
          <t>20–22</t>
        </is>
      </c>
    </row>
    <row r="21">
      <c r="B21" s="21" t="inlineStr">
        <is>
          <t>Mon</t>
        </is>
      </c>
      <c r="C21" s="63" t="n">
        <v>1954</v>
      </c>
      <c r="D21" s="63" t="n">
        <v>2344</v>
      </c>
      <c r="E21" s="63" t="n">
        <v>2051</v>
      </c>
      <c r="F21" s="63" t="n">
        <v>2247</v>
      </c>
      <c r="G21" s="63" t="n">
        <v>1172</v>
      </c>
      <c r="I21" s="21" t="inlineStr">
        <is>
          <t>Mon</t>
        </is>
      </c>
      <c r="J21" s="63" t="n">
        <v>1864</v>
      </c>
      <c r="K21" s="63" t="n">
        <v>2244</v>
      </c>
      <c r="L21" s="63" t="n">
        <v>1923</v>
      </c>
      <c r="M21" s="63" t="n">
        <v>2086</v>
      </c>
      <c r="N21" s="63" t="n">
        <v>1071</v>
      </c>
    </row>
    <row r="22">
      <c r="B22" s="21" t="inlineStr">
        <is>
          <t>Tue</t>
        </is>
      </c>
      <c r="C22" s="63" t="n">
        <v>1889</v>
      </c>
      <c r="D22" s="63" t="n">
        <v>2266</v>
      </c>
      <c r="E22" s="63" t="n">
        <v>1983</v>
      </c>
      <c r="F22" s="63" t="n">
        <v>2172</v>
      </c>
      <c r="G22" s="63" t="n">
        <v>1133</v>
      </c>
      <c r="I22" s="21" t="inlineStr">
        <is>
          <t>Tue</t>
        </is>
      </c>
      <c r="J22" s="63" t="n">
        <v>1807</v>
      </c>
      <c r="K22" s="63" t="n">
        <v>2139</v>
      </c>
      <c r="L22" s="63" t="n">
        <v>1884</v>
      </c>
      <c r="M22" s="63" t="n">
        <v>2009</v>
      </c>
      <c r="N22" s="63" t="n">
        <v>1036</v>
      </c>
    </row>
    <row r="23">
      <c r="B23" s="21" t="inlineStr">
        <is>
          <t>Wed</t>
        </is>
      </c>
      <c r="C23" s="63" t="n">
        <v>1921</v>
      </c>
      <c r="D23" s="63" t="n">
        <v>2305</v>
      </c>
      <c r="E23" s="63" t="n">
        <v>2017</v>
      </c>
      <c r="F23" s="63" t="n">
        <v>2209</v>
      </c>
      <c r="G23" s="63" t="n">
        <v>1153</v>
      </c>
      <c r="I23" s="21" t="inlineStr">
        <is>
          <t>Wed</t>
        </is>
      </c>
      <c r="J23" s="63" t="n">
        <v>1829</v>
      </c>
      <c r="K23" s="63" t="n">
        <v>2191</v>
      </c>
      <c r="L23" s="63" t="n">
        <v>1888</v>
      </c>
      <c r="M23" s="63" t="n">
        <v>2051</v>
      </c>
      <c r="N23" s="63" t="n">
        <v>1052</v>
      </c>
    </row>
    <row r="24">
      <c r="B24" s="21" t="inlineStr">
        <is>
          <t>Thu</t>
        </is>
      </c>
      <c r="C24" s="63" t="n">
        <v>1970</v>
      </c>
      <c r="D24" s="63" t="n">
        <v>2364</v>
      </c>
      <c r="E24" s="63" t="n">
        <v>2068</v>
      </c>
      <c r="F24" s="63" t="n">
        <v>2265</v>
      </c>
      <c r="G24" s="63" t="n">
        <v>1182</v>
      </c>
      <c r="I24" s="21" t="inlineStr">
        <is>
          <t>Thu</t>
        </is>
      </c>
      <c r="J24" s="63" t="n">
        <v>1882</v>
      </c>
      <c r="K24" s="63" t="n">
        <v>2225</v>
      </c>
      <c r="L24" s="63" t="n">
        <v>1957</v>
      </c>
      <c r="M24" s="63" t="n">
        <v>2108</v>
      </c>
      <c r="N24" s="63" t="n">
        <v>1081</v>
      </c>
    </row>
    <row r="25">
      <c r="B25" s="21" t="inlineStr">
        <is>
          <t>Fri</t>
        </is>
      </c>
      <c r="C25" s="63" t="n">
        <v>2198</v>
      </c>
      <c r="D25" s="63" t="n">
        <v>2637</v>
      </c>
      <c r="E25" s="63" t="n">
        <v>2308</v>
      </c>
      <c r="F25" s="63" t="n">
        <v>2527</v>
      </c>
      <c r="G25" s="63" t="n">
        <v>1319</v>
      </c>
      <c r="I25" s="21" t="inlineStr">
        <is>
          <t>Fri</t>
        </is>
      </c>
      <c r="J25" s="63" t="n">
        <v>2100</v>
      </c>
      <c r="K25" s="63" t="n">
        <v>2494</v>
      </c>
      <c r="L25" s="63" t="n">
        <v>2191</v>
      </c>
      <c r="M25" s="63" t="n">
        <v>2295</v>
      </c>
      <c r="N25" s="63" t="n">
        <v>1182</v>
      </c>
    </row>
    <row r="26">
      <c r="B26" s="21" t="inlineStr">
        <is>
          <t>Sat</t>
        </is>
      </c>
      <c r="C26" s="63" t="n">
        <v>3158</v>
      </c>
      <c r="D26" s="63" t="n">
        <v>3790</v>
      </c>
      <c r="E26" s="63" t="n">
        <v>3316</v>
      </c>
      <c r="F26" s="63" t="n">
        <v>3632</v>
      </c>
      <c r="G26" s="63" t="n">
        <v>1895</v>
      </c>
      <c r="I26" s="21" t="inlineStr">
        <is>
          <t>Sat</t>
        </is>
      </c>
      <c r="J26" s="63" t="n">
        <v>2946</v>
      </c>
      <c r="K26" s="63" t="n">
        <v>3435</v>
      </c>
      <c r="L26" s="63" t="n">
        <v>2975</v>
      </c>
      <c r="M26" s="63" t="n">
        <v>3024</v>
      </c>
      <c r="N26" s="63" t="n">
        <v>1525</v>
      </c>
    </row>
    <row r="27">
      <c r="B27" s="21" t="inlineStr">
        <is>
          <t>Sun</t>
        </is>
      </c>
      <c r="C27" s="63" t="n">
        <v>3191</v>
      </c>
      <c r="D27" s="63" t="n">
        <v>3829</v>
      </c>
      <c r="E27" s="63" t="n">
        <v>3350</v>
      </c>
      <c r="F27" s="63" t="n">
        <v>3670</v>
      </c>
      <c r="G27" s="63" t="n">
        <v>1915</v>
      </c>
      <c r="I27" s="21" t="inlineStr">
        <is>
          <t>Sun</t>
        </is>
      </c>
      <c r="J27" s="63" t="n">
        <v>2977</v>
      </c>
      <c r="K27" s="63" t="n">
        <v>3519</v>
      </c>
      <c r="L27" s="63" t="n">
        <v>2985</v>
      </c>
      <c r="M27" s="63" t="n">
        <v>3054</v>
      </c>
      <c r="N27" s="63" t="n">
        <v>1533</v>
      </c>
    </row>
    <row r="29" ht="30" customHeight="1">
      <c r="B29" s="25" t="inlineStr">
        <is>
          <t>Fill rate</t>
        </is>
      </c>
      <c r="C29" s="26" t="inlineStr">
        <is>
          <t>8–11</t>
        </is>
      </c>
      <c r="D29" s="26" t="inlineStr">
        <is>
          <t>11–14</t>
        </is>
      </c>
      <c r="E29" s="26" t="inlineStr">
        <is>
          <t>14–17</t>
        </is>
      </c>
      <c r="F29" s="26" t="inlineStr">
        <is>
          <t>17–20</t>
        </is>
      </c>
      <c r="G29" s="26" t="inlineStr">
        <is>
          <t>20–22</t>
        </is>
      </c>
    </row>
    <row r="30">
      <c r="B30" s="21" t="inlineStr">
        <is>
          <t>Mon</t>
        </is>
      </c>
      <c r="C30" s="76">
        <f>J21/C21</f>
        <v>0.953940634595701</v>
      </c>
      <c r="D30" s="76">
        <f>K21/D21</f>
        <v>0.957337883959044</v>
      </c>
      <c r="E30" s="76">
        <f>L21/E21</f>
        <v>0.937591418820088</v>
      </c>
      <c r="F30" s="76">
        <f>M21/F21</f>
        <v>0.928348909657321</v>
      </c>
      <c r="G30" s="76">
        <f>N21/G21</f>
        <v>0.91382252559727</v>
      </c>
    </row>
    <row r="31">
      <c r="B31" s="21" t="inlineStr">
        <is>
          <t>Tue</t>
        </is>
      </c>
      <c r="C31" s="76">
        <f>J22/C22</f>
        <v>0.956590788777131</v>
      </c>
      <c r="D31" s="76">
        <f>K22/D22</f>
        <v>0.943954104148279</v>
      </c>
      <c r="E31" s="76">
        <f>L22/E22</f>
        <v>0.950075642965204</v>
      </c>
      <c r="F31" s="76">
        <f>M22/F22</f>
        <v>0.924953959484346</v>
      </c>
      <c r="G31" s="76">
        <f>N22/G22</f>
        <v>0.914386584289497</v>
      </c>
    </row>
    <row r="32">
      <c r="B32" s="21" t="inlineStr">
        <is>
          <t>Wed</t>
        </is>
      </c>
      <c r="C32" s="76">
        <f>J23/C23</f>
        <v>0.952108276939094</v>
      </c>
      <c r="D32" s="76">
        <f>K23/D23</f>
        <v>0.950542299349241</v>
      </c>
      <c r="E32" s="76">
        <f>L23/E23</f>
        <v>0.936043629152206</v>
      </c>
      <c r="F32" s="76">
        <f>M23/F23</f>
        <v>0.928474422815754</v>
      </c>
      <c r="G32" s="76">
        <f>N23/G23</f>
        <v>0.912402428447528</v>
      </c>
    </row>
    <row r="33">
      <c r="B33" s="21" t="inlineStr">
        <is>
          <t>Thu</t>
        </is>
      </c>
      <c r="C33" s="76">
        <f>J24/C24</f>
        <v>0.955329949238579</v>
      </c>
      <c r="D33" s="76">
        <f>K24/D24</f>
        <v>0.941201353637902</v>
      </c>
      <c r="E33" s="76">
        <f>L24/E24</f>
        <v>0.946324951644101</v>
      </c>
      <c r="F33" s="76">
        <f>M24/F24</f>
        <v>0.930684326710817</v>
      </c>
      <c r="G33" s="76">
        <f>N24/G24</f>
        <v>0.914551607445008</v>
      </c>
    </row>
    <row r="34">
      <c r="B34" s="21" t="inlineStr">
        <is>
          <t>Fri</t>
        </is>
      </c>
      <c r="C34" s="76">
        <f>J25/C25</f>
        <v>0.955414012738854</v>
      </c>
      <c r="D34" s="76">
        <f>K25/D25</f>
        <v>0.94577171027683</v>
      </c>
      <c r="E34" s="76">
        <f>L25/E25</f>
        <v>0.949306759098787</v>
      </c>
      <c r="F34" s="76">
        <f>M25/F25</f>
        <v>0.90819153146023</v>
      </c>
      <c r="G34" s="76">
        <f>N25/G25</f>
        <v>0.896133434420015</v>
      </c>
    </row>
    <row r="35">
      <c r="B35" s="21" t="inlineStr">
        <is>
          <t>Sat</t>
        </is>
      </c>
      <c r="C35" s="76">
        <f>J26/C26</f>
        <v>0.932868904369854</v>
      </c>
      <c r="D35" s="76">
        <f>K26/D26</f>
        <v>0.906332453825858</v>
      </c>
      <c r="E35" s="76">
        <f>L26/E26</f>
        <v>0.897165259348613</v>
      </c>
      <c r="F35" s="76">
        <f>M26/F26</f>
        <v>0.832599118942731</v>
      </c>
      <c r="G35" s="76">
        <f>N26/G26</f>
        <v>0.804749340369393</v>
      </c>
    </row>
    <row r="36">
      <c r="B36" s="21" t="inlineStr">
        <is>
          <t>Sun</t>
        </is>
      </c>
      <c r="C36" s="76">
        <f>J27/C27</f>
        <v>0.932936383578815</v>
      </c>
      <c r="D36" s="76">
        <f>K27/D27</f>
        <v>0.919038913554453</v>
      </c>
      <c r="E36" s="76">
        <f>L27/E27</f>
        <v>0.891044776119403</v>
      </c>
      <c r="F36" s="76">
        <f>M27/F27</f>
        <v>0.832152588555858</v>
      </c>
      <c r="G36" s="76">
        <f>N27/G27</f>
        <v>0.800522193211488</v>
      </c>
    </row>
    <row r="38">
      <c r="B38" s="8" t="inlineStr">
        <is>
          <t>The averaging trap</t>
        </is>
      </c>
    </row>
    <row r="39">
      <c r="B39" s="9" t="inlineStr">
        <is>
          <t>Average of the 35 slot fill rates</t>
        </is>
      </c>
      <c r="F39" s="77">
        <f>AVERAGE(C30:G36)</f>
        <v>0.918654087929866</v>
      </c>
      <c r="G39" s="11" t="inlineStr">
        <is>
          <t>Wrong: a quiet Monday slot counts as much as a packed Sunday evening</t>
        </is>
      </c>
    </row>
    <row r="40">
      <c r="B40" s="9" t="inlineStr">
        <is>
          <t>Total assigned ÷ total requests</t>
        </is>
      </c>
      <c r="F40" s="78">
        <f>SUM(J21:N27)/SUM(C21:G27)</f>
        <v>0.915995085995086</v>
      </c>
      <c r="G40" s="11" t="inlineStr">
        <is>
          <t>Right: add the counts first, then divide</t>
        </is>
      </c>
    </row>
    <row r="41">
      <c r="B41" s="9" t="inlineStr">
        <is>
          <t>Weekend evenings (Sat–Sun, 17–22): share of requests</t>
        </is>
      </c>
      <c r="F41" s="64">
        <f>SUM(F26:G27)/SUM(C21:G27)</f>
        <v>0.136511056511057</v>
      </c>
    </row>
    <row r="42">
      <c r="B42" s="9" t="inlineStr">
        <is>
          <t>Weekend evenings: share of unfilled requests</t>
        </is>
      </c>
      <c r="F42" s="64">
        <f>(SUM(F26:G27)-SUM(M26:N27))/(SUM(C21:G27)-SUM(J21:N27))</f>
        <v>0.288973384030418</v>
      </c>
    </row>
  </sheetData>
  <conditionalFormatting sqref="F7:F15">
    <cfRule type="expression" priority="1" dxfId="6" stopIfTrue="1">
      <formula>F7&gt;=t_fill</formula>
    </cfRule>
    <cfRule type="expression" priority="2" dxfId="7" stopIfTrue="1">
      <formula>F7&gt;=t_fill*(1-amber_band)</formula>
    </cfRule>
    <cfRule type="expression" priority="3" dxfId="8">
      <formula>TRUE</formula>
    </cfRule>
  </conditionalFormatting>
  <conditionalFormatting sqref="G7:G15">
    <cfRule type="expression" priority="4" dxfId="6" stopIfTrue="1">
      <formula>G7&gt;=t_ot</formula>
    </cfRule>
    <cfRule type="expression" priority="5" dxfId="7" stopIfTrue="1">
      <formula>G7&gt;=t_ot*(1-amber_band)</formula>
    </cfRule>
    <cfRule type="expression" priority="6" dxfId="8">
      <formula>TRUE</formula>
    </cfRule>
  </conditionalFormatting>
  <conditionalFormatting sqref="H7:H15">
    <cfRule type="expression" priority="7" dxfId="6" stopIfTrue="1">
      <formula>H7&lt;=t_cc</formula>
    </cfRule>
    <cfRule type="expression" priority="8" dxfId="7" stopIfTrue="1">
      <formula>H7&lt;=t_cc*(1+amber_band)</formula>
    </cfRule>
    <cfRule type="expression" priority="9" dxfId="8">
      <formula>TRUE</formula>
    </cfRule>
  </conditionalFormatting>
  <conditionalFormatting sqref="I7:I15">
    <cfRule type="expression" priority="10" dxfId="6" stopIfTrue="1">
      <formula>I7&lt;=t_pc</formula>
    </cfRule>
    <cfRule type="expression" priority="11" dxfId="7" stopIfTrue="1">
      <formula>I7&lt;=t_pc*(1+amber_band)</formula>
    </cfRule>
    <cfRule type="expression" priority="12" dxfId="8">
      <formula>TRUE</formula>
    </cfRule>
  </conditionalFormatting>
  <conditionalFormatting sqref="J7:J15">
    <cfRule type="expression" priority="13" dxfId="6" stopIfTrue="1">
      <formula>J7&gt;=t_jppd</formula>
    </cfRule>
    <cfRule type="expression" priority="14" dxfId="7" stopIfTrue="1">
      <formula>J7&gt;=t_jppd*(1-amber_band)</formula>
    </cfRule>
    <cfRule type="expression" priority="15" dxfId="8">
      <formula>TRUE</formula>
    </cfRule>
  </conditionalFormatting>
  <conditionalFormatting sqref="K7:K15">
    <cfRule type="expression" priority="16" dxfId="6" stopIfTrue="1">
      <formula>K7&lt;=t_cpk</formula>
    </cfRule>
    <cfRule type="expression" priority="17" dxfId="7" stopIfTrue="1">
      <formula>K7&lt;=t_cpk*(1+amber_band)</formula>
    </cfRule>
    <cfRule type="expression" priority="18" dxfId="8">
      <formula>TRUE</formula>
    </cfRule>
  </conditionalFormatting>
  <conditionalFormatting sqref="L7:L15">
    <cfRule type="expression" priority="19" dxfId="6" stopIfTrue="1">
      <formula>L7&lt;=t_kit</formula>
    </cfRule>
    <cfRule type="expression" priority="20" dxfId="7" stopIfTrue="1">
      <formula>L7&lt;=t_kit*(1+amber_band)</formula>
    </cfRule>
    <cfRule type="expression" priority="21" dxfId="8">
      <formula>TRUE</formula>
    </cfRule>
  </conditionalFormatting>
  <conditionalFormatting sqref="M7:M15">
    <cfRule type="expression" priority="22" dxfId="6" stopIfTrue="1">
      <formula>M7&gt;=t_nsm</formula>
    </cfRule>
    <cfRule type="expression" priority="23" dxfId="7" stopIfTrue="1">
      <formula>M7&gt;=t_nsm*(1-amber_band)</formula>
    </cfRule>
    <cfRule type="expression" priority="24" dxfId="8">
      <formula>TRUE</formula>
    </cfRule>
  </conditionalFormatting>
  <conditionalFormatting sqref="C30:G36">
    <cfRule type="colorScale" priority="25">
      <colorScale>
        <cfvo type="num" val="0.8"/>
        <cfvo type="num" val="0.95"/>
        <cfvo type="num" val="0.98"/>
        <color rgb="00E66A63"/>
        <color rgb="00F0EFEC"/>
        <color rgb="006DA7E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2A78D6"/>
    <outlinePr summaryBelow="1" summaryRight="1"/>
    <pageSetUpPr fitToPage="1"/>
  </sheetPr>
  <dimension ref="B1:N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14" customWidth="1" min="2" max="2"/>
    <col width="12" customWidth="1" min="3" max="3"/>
    <col width="12" customWidth="1" min="4" max="4"/>
    <col width="11" customWidth="1" min="5" max="5"/>
    <col width="11" customWidth="1" min="6" max="6"/>
    <col width="13" customWidth="1" min="7" max="7"/>
    <col width="12" customWidth="1" min="8" max="8"/>
    <col width="13" customWidth="1" min="9" max="9"/>
    <col width="13" customWidth="1" min="10" max="10"/>
    <col width="12" customWidth="1" min="11" max="11"/>
    <col width="12" customWidth="1" min="12" max="12"/>
    <col width="12" customWidth="1" min="13" max="13"/>
    <col width="10" customWidth="1" min="14" max="14"/>
  </cols>
  <sheetData>
    <row r="1" ht="26" customHeight="1">
      <c r="B1" s="20" t="inlineStr">
        <is>
          <t>Partner supply &amp; productivity</t>
        </is>
      </c>
    </row>
    <row r="2">
      <c r="B2" s="19" t="inlineStr">
        <is>
          <t>Onboarding funnel by week, cohort retention and utilisation. Owners: Supply, Training &amp; QA.</t>
        </is>
      </c>
    </row>
    <row r="4" ht="30" customHeight="1">
      <c r="B4" s="25" t="inlineStr">
        <is>
          <t>Week</t>
        </is>
      </c>
      <c r="C4" s="26" t="inlineStr">
        <is>
          <t>Leads sourced</t>
        </is>
      </c>
      <c r="D4" s="26" t="inlineStr">
        <is>
          <t>Started training</t>
        </is>
      </c>
      <c r="E4" s="26" t="inlineStr">
        <is>
          <t>Certified</t>
        </is>
      </c>
      <c r="F4" s="26" t="inlineStr">
        <is>
          <t>Kit issued</t>
        </is>
      </c>
      <c r="G4" s="26" t="inlineStr">
        <is>
          <t>First job in 7 days</t>
        </is>
      </c>
      <c r="H4" s="26" t="inlineStr">
        <is>
          <t>In training now</t>
        </is>
      </c>
      <c r="I4" s="26" t="inlineStr">
        <is>
          <t>Sourced → started</t>
        </is>
      </c>
      <c r="J4" s="26" t="inlineStr">
        <is>
          <t>Started → certified</t>
        </is>
      </c>
      <c r="K4" s="26" t="inlineStr">
        <is>
          <t>Certified → kit</t>
        </is>
      </c>
      <c r="L4" s="26" t="inlineStr">
        <is>
          <t>Kit → first job</t>
        </is>
      </c>
      <c r="M4" s="26" t="inlineStr">
        <is>
          <t>Active partners</t>
        </is>
      </c>
      <c r="N4" s="26" t="inlineStr">
        <is>
          <t>Target</t>
        </is>
      </c>
    </row>
    <row r="5">
      <c r="B5" s="24" t="n">
        <v>31</v>
      </c>
      <c r="C5" s="79" t="n">
        <v>1021</v>
      </c>
      <c r="D5" s="79" t="n">
        <v>436</v>
      </c>
      <c r="E5" s="63">
        <f>SUMIFS(d_cert,d_week,B5)</f>
        <v>168</v>
      </c>
      <c r="F5" s="79" t="n">
        <v>155</v>
      </c>
      <c r="G5" s="79" t="n">
        <v>135</v>
      </c>
      <c r="H5" s="79" t="n">
        <v>1289</v>
      </c>
      <c r="I5" s="80">
        <f>D5/C5</f>
        <v>0.427032321253673</v>
      </c>
      <c r="J5" s="80">
        <f>E5/D5</f>
        <v>0.385321100917431</v>
      </c>
      <c r="K5" s="80">
        <f>F5/E5</f>
        <v>0.922619047619048</v>
      </c>
      <c r="L5" s="80">
        <f>G5/F5</f>
        <v>0.870967741935484</v>
      </c>
      <c r="M5" s="81">
        <f>SUMIFS(d_act,d_week,B5)</f>
        <v>7060</v>
      </c>
      <c r="N5" s="82">
        <f>t_act</f>
        <v>7600</v>
      </c>
    </row>
    <row r="6">
      <c r="B6" s="24" t="n">
        <v>32</v>
      </c>
      <c r="C6" s="79" t="n">
        <v>1022</v>
      </c>
      <c r="D6" s="79" t="n">
        <v>472</v>
      </c>
      <c r="E6" s="63">
        <f>SUMIFS(d_cert,d_week,B6)</f>
        <v>172</v>
      </c>
      <c r="F6" s="79" t="n">
        <v>159</v>
      </c>
      <c r="G6" s="79" t="n">
        <v>139</v>
      </c>
      <c r="H6" s="79" t="n">
        <v>1356</v>
      </c>
      <c r="I6" s="80">
        <f>D6/C6</f>
        <v>0.461839530332681</v>
      </c>
      <c r="J6" s="80">
        <f>E6/D6</f>
        <v>0.364406779661017</v>
      </c>
      <c r="K6" s="80">
        <f>F6/E6</f>
        <v>0.924418604651163</v>
      </c>
      <c r="L6" s="80">
        <f>G6/F6</f>
        <v>0.874213836477987</v>
      </c>
      <c r="M6" s="81">
        <f>SUMIFS(d_act,d_week,B6)</f>
        <v>7090</v>
      </c>
      <c r="N6" s="82">
        <f>t_act</f>
        <v>7600</v>
      </c>
    </row>
    <row r="7">
      <c r="B7" s="24" t="n">
        <v>33</v>
      </c>
      <c r="C7" s="79" t="n">
        <v>1045</v>
      </c>
      <c r="D7" s="79" t="n">
        <v>475</v>
      </c>
      <c r="E7" s="63">
        <f>SUMIFS(d_cert,d_week,B7)</f>
        <v>175</v>
      </c>
      <c r="F7" s="79" t="n">
        <v>164</v>
      </c>
      <c r="G7" s="79" t="n">
        <v>142</v>
      </c>
      <c r="H7" s="79" t="n">
        <v>1356</v>
      </c>
      <c r="I7" s="80">
        <f>D7/C7</f>
        <v>0.454545454545455</v>
      </c>
      <c r="J7" s="80">
        <f>E7/D7</f>
        <v>0.368421052631579</v>
      </c>
      <c r="K7" s="80">
        <f>F7/E7</f>
        <v>0.937142857142857</v>
      </c>
      <c r="L7" s="80">
        <f>G7/F7</f>
        <v>0.865853658536585</v>
      </c>
      <c r="M7" s="81">
        <f>SUMIFS(d_act,d_week,B7)</f>
        <v>7130</v>
      </c>
      <c r="N7" s="82">
        <f>t_act</f>
        <v>7600</v>
      </c>
    </row>
    <row r="8">
      <c r="B8" s="24" t="n">
        <v>34</v>
      </c>
      <c r="C8" s="79" t="n">
        <v>984</v>
      </c>
      <c r="D8" s="79" t="n">
        <v>411</v>
      </c>
      <c r="E8" s="63">
        <f>SUMIFS(d_cert,d_week,B8)</f>
        <v>160</v>
      </c>
      <c r="F8" s="79" t="n">
        <v>151</v>
      </c>
      <c r="G8" s="79" t="n">
        <v>132</v>
      </c>
      <c r="H8" s="79" t="n">
        <v>1377</v>
      </c>
      <c r="I8" s="80">
        <f>D8/C8</f>
        <v>0.417682926829268</v>
      </c>
      <c r="J8" s="80">
        <f>E8/D8</f>
        <v>0.389294403892944</v>
      </c>
      <c r="K8" s="80">
        <f>F8/E8</f>
        <v>0.94375</v>
      </c>
      <c r="L8" s="80">
        <f>G8/F8</f>
        <v>0.874172185430464</v>
      </c>
      <c r="M8" s="81">
        <f>SUMIFS(d_act,d_week,B8)</f>
        <v>7160</v>
      </c>
      <c r="N8" s="82">
        <f>t_act</f>
        <v>7600</v>
      </c>
    </row>
    <row r="9">
      <c r="B9" s="24" t="n">
        <v>35</v>
      </c>
      <c r="C9" s="79" t="n">
        <v>1045</v>
      </c>
      <c r="D9" s="79" t="n">
        <v>464</v>
      </c>
      <c r="E9" s="63">
        <f>SUMIFS(d_cert,d_week,B9)</f>
        <v>181</v>
      </c>
      <c r="F9" s="79" t="n">
        <v>168</v>
      </c>
      <c r="G9" s="79" t="n">
        <v>146</v>
      </c>
      <c r="H9" s="79" t="n">
        <v>1374</v>
      </c>
      <c r="I9" s="80">
        <f>D9/C9</f>
        <v>0.444019138755981</v>
      </c>
      <c r="J9" s="80">
        <f>E9/D9</f>
        <v>0.390086206896552</v>
      </c>
      <c r="K9" s="80">
        <f>F9/E9</f>
        <v>0.928176795580111</v>
      </c>
      <c r="L9" s="80">
        <f>G9/F9</f>
        <v>0.869047619047619</v>
      </c>
      <c r="M9" s="81">
        <f>SUMIFS(d_act,d_week,B9)</f>
        <v>7190</v>
      </c>
      <c r="N9" s="82">
        <f>t_act</f>
        <v>7600</v>
      </c>
    </row>
    <row r="10">
      <c r="B10" s="24" t="n">
        <v>36</v>
      </c>
      <c r="C10" s="79" t="n">
        <v>1081</v>
      </c>
      <c r="D10" s="79" t="n">
        <v>487</v>
      </c>
      <c r="E10" s="63">
        <f>SUMIFS(d_cert,d_week,B10)</f>
        <v>177</v>
      </c>
      <c r="F10" s="79" t="n">
        <v>167</v>
      </c>
      <c r="G10" s="79" t="n">
        <v>142</v>
      </c>
      <c r="H10" s="79" t="n">
        <v>1385</v>
      </c>
      <c r="I10" s="80">
        <f>D10/C10</f>
        <v>0.450508788159112</v>
      </c>
      <c r="J10" s="80">
        <f>E10/D10</f>
        <v>0.363449691991786</v>
      </c>
      <c r="K10" s="80">
        <f>F10/E10</f>
        <v>0.943502824858757</v>
      </c>
      <c r="L10" s="80">
        <f>G10/F10</f>
        <v>0.850299401197605</v>
      </c>
      <c r="M10" s="81">
        <f>SUMIFS(d_act,d_week,B10)</f>
        <v>7230</v>
      </c>
      <c r="N10" s="82">
        <f>t_act</f>
        <v>7600</v>
      </c>
    </row>
    <row r="11">
      <c r="B11" s="24" t="n">
        <v>37</v>
      </c>
      <c r="C11" s="79" t="n">
        <v>1033</v>
      </c>
      <c r="D11" s="79" t="n">
        <v>463</v>
      </c>
      <c r="E11" s="63">
        <f>SUMIFS(d_cert,d_week,B11)</f>
        <v>170</v>
      </c>
      <c r="F11" s="79" t="n">
        <v>161</v>
      </c>
      <c r="G11" s="79" t="n">
        <v>139</v>
      </c>
      <c r="H11" s="79" t="n">
        <v>1393</v>
      </c>
      <c r="I11" s="80">
        <f>D11/C11</f>
        <v>0.448209099709584</v>
      </c>
      <c r="J11" s="80">
        <f>E11/D11</f>
        <v>0.367170626349892</v>
      </c>
      <c r="K11" s="80">
        <f>F11/E11</f>
        <v>0.947058823529412</v>
      </c>
      <c r="L11" s="80">
        <f>G11/F11</f>
        <v>0.863354037267081</v>
      </c>
      <c r="M11" s="81">
        <f>SUMIFS(d_act,d_week,B11)</f>
        <v>7260</v>
      </c>
      <c r="N11" s="82">
        <f>t_act</f>
        <v>7600</v>
      </c>
    </row>
    <row r="12">
      <c r="B12" s="24" t="n">
        <v>38</v>
      </c>
      <c r="C12" s="79" t="n">
        <v>1157</v>
      </c>
      <c r="D12" s="79" t="n">
        <v>489</v>
      </c>
      <c r="E12" s="63">
        <f>SUMIFS(d_cert,d_week,B12)</f>
        <v>188</v>
      </c>
      <c r="F12" s="79" t="n">
        <v>174</v>
      </c>
      <c r="G12" s="79" t="n">
        <v>153</v>
      </c>
      <c r="H12" s="79" t="n">
        <v>1396</v>
      </c>
      <c r="I12" s="80">
        <f>D12/C12</f>
        <v>0.422644770959378</v>
      </c>
      <c r="J12" s="80">
        <f>E12/D12</f>
        <v>0.384458077709611</v>
      </c>
      <c r="K12" s="80">
        <f>F12/E12</f>
        <v>0.925531914893617</v>
      </c>
      <c r="L12" s="80">
        <f>G12/F12</f>
        <v>0.879310344827586</v>
      </c>
      <c r="M12" s="81">
        <f>SUMIFS(d_act,d_week,B12)</f>
        <v>7300</v>
      </c>
      <c r="N12" s="82">
        <f>t_act</f>
        <v>7600</v>
      </c>
    </row>
    <row r="13">
      <c r="B13" s="24" t="n">
        <v>39</v>
      </c>
      <c r="C13" s="79" t="n">
        <v>1069</v>
      </c>
      <c r="D13" s="79" t="n">
        <v>487</v>
      </c>
      <c r="E13" s="63">
        <f>SUMIFS(d_cert,d_week,B13)</f>
        <v>179</v>
      </c>
      <c r="F13" s="79" t="n">
        <v>166</v>
      </c>
      <c r="G13" s="79" t="n">
        <v>147</v>
      </c>
      <c r="H13" s="79" t="n">
        <v>1436</v>
      </c>
      <c r="I13" s="80">
        <f>D13/C13</f>
        <v>0.4555659494855</v>
      </c>
      <c r="J13" s="80">
        <f>E13/D13</f>
        <v>0.367556468172485</v>
      </c>
      <c r="K13" s="80">
        <f>F13/E13</f>
        <v>0.927374301675978</v>
      </c>
      <c r="L13" s="80">
        <f>G13/F13</f>
        <v>0.885542168674699</v>
      </c>
      <c r="M13" s="81">
        <f>SUMIFS(d_act,d_week,B13)</f>
        <v>7340</v>
      </c>
      <c r="N13" s="82">
        <f>t_act</f>
        <v>7600</v>
      </c>
    </row>
    <row r="14">
      <c r="B14" s="24" t="n">
        <v>40</v>
      </c>
      <c r="C14" s="79" t="n">
        <v>1157</v>
      </c>
      <c r="D14" s="79" t="n">
        <v>518</v>
      </c>
      <c r="E14" s="63">
        <f>SUMIFS(d_cert,d_week,B14)</f>
        <v>192</v>
      </c>
      <c r="F14" s="79" t="n">
        <v>177</v>
      </c>
      <c r="G14" s="79" t="n">
        <v>160</v>
      </c>
      <c r="H14" s="79" t="n">
        <v>1440</v>
      </c>
      <c r="I14" s="80">
        <f>D14/C14</f>
        <v>0.44770959377701</v>
      </c>
      <c r="J14" s="80">
        <f>E14/D14</f>
        <v>0.370656370656371</v>
      </c>
      <c r="K14" s="80">
        <f>F14/E14</f>
        <v>0.921875</v>
      </c>
      <c r="L14" s="80">
        <f>G14/F14</f>
        <v>0.903954802259887</v>
      </c>
      <c r="M14" s="81">
        <f>SUMIFS(d_act,d_week,B14)</f>
        <v>7380</v>
      </c>
      <c r="N14" s="82">
        <f>t_act</f>
        <v>7600</v>
      </c>
    </row>
    <row r="15">
      <c r="B15" s="24" t="n">
        <v>41</v>
      </c>
      <c r="C15" s="79" t="n">
        <v>1139</v>
      </c>
      <c r="D15" s="79" t="n">
        <v>498</v>
      </c>
      <c r="E15" s="63">
        <f>SUMIFS(d_cert,d_week,B15)</f>
        <v>185</v>
      </c>
      <c r="F15" s="79" t="n">
        <v>176</v>
      </c>
      <c r="G15" s="79" t="n">
        <v>153</v>
      </c>
      <c r="H15" s="79" t="n">
        <v>1457</v>
      </c>
      <c r="I15" s="80">
        <f>D15/C15</f>
        <v>0.437225636523266</v>
      </c>
      <c r="J15" s="80">
        <f>E15/D15</f>
        <v>0.3714859437751</v>
      </c>
      <c r="K15" s="80">
        <f>F15/E15</f>
        <v>0.951351351351351</v>
      </c>
      <c r="L15" s="80">
        <f>G15/F15</f>
        <v>0.869318181818182</v>
      </c>
      <c r="M15" s="81">
        <f>SUMIFS(d_act,d_week,B15)</f>
        <v>7420</v>
      </c>
      <c r="N15" s="82">
        <f>t_act</f>
        <v>7600</v>
      </c>
    </row>
    <row r="16">
      <c r="B16" s="24" t="n">
        <v>42</v>
      </c>
      <c r="C16" s="79" t="n">
        <v>1213</v>
      </c>
      <c r="D16" s="79" t="n">
        <v>558</v>
      </c>
      <c r="E16" s="63">
        <f>SUMIFS(d_cert,d_week,B16)</f>
        <v>210</v>
      </c>
      <c r="F16" s="79" t="n">
        <v>194</v>
      </c>
      <c r="G16" s="79" t="n">
        <v>173</v>
      </c>
      <c r="H16" s="79" t="n">
        <v>1453</v>
      </c>
      <c r="I16" s="80">
        <f>D16/C16</f>
        <v>0.460016488046167</v>
      </c>
      <c r="J16" s="80">
        <f>E16/D16</f>
        <v>0.376344086021505</v>
      </c>
      <c r="K16" s="80">
        <f>F16/E16</f>
        <v>0.923809523809524</v>
      </c>
      <c r="L16" s="80">
        <f>G16/F16</f>
        <v>0.891752577319588</v>
      </c>
      <c r="M16" s="81">
        <f>SUMIFS(d_act,d_week,B16)</f>
        <v>7480</v>
      </c>
      <c r="N16" s="82">
        <f>t_act</f>
        <v>7600</v>
      </c>
    </row>
    <row r="17">
      <c r="B17" s="19" t="inlineStr">
        <is>
          <t>Blue numbers are pipeline counts from the onboarding tracker (mock). Certified and active partners come from the Data tab. Conversions compare this week's counts, so they are an approximation of a 15–45 day pipeline.</t>
        </is>
      </c>
    </row>
    <row r="18">
      <c r="B18" s="21" t="inlineStr">
        <is>
          <t>Certified partners still waiting for a kit (this week)</t>
        </is>
      </c>
      <c r="H18" s="81">
        <f>E16-F16</f>
        <v>16</v>
      </c>
    </row>
    <row r="20">
      <c r="B20" s="8" t="inlineStr">
        <is>
          <t>Retention by joining cohort: % still active, by week since joining</t>
        </is>
      </c>
    </row>
    <row r="21" ht="30" customHeight="1">
      <c r="B21" s="25" t="inlineStr">
        <is>
          <t>Cohort</t>
        </is>
      </c>
      <c r="C21" s="26" t="inlineStr">
        <is>
          <t>Joined</t>
        </is>
      </c>
      <c r="D21" s="26" t="inlineStr">
        <is>
          <t>Week 1</t>
        </is>
      </c>
      <c r="E21" s="26" t="inlineStr">
        <is>
          <t>Week 2</t>
        </is>
      </c>
      <c r="F21" s="26" t="inlineStr">
        <is>
          <t>Week 4</t>
        </is>
      </c>
      <c r="G21" s="26" t="inlineStr">
        <is>
          <t>Week 8</t>
        </is>
      </c>
      <c r="H21" s="26" t="inlineStr">
        <is>
          <t>Week 13</t>
        </is>
      </c>
      <c r="I21" s="26" t="inlineStr">
        <is>
          <t>Lost in weeks 2–4</t>
        </is>
      </c>
    </row>
    <row r="22">
      <c r="B22" s="21" t="inlineStr">
        <is>
          <t>Apr 2026</t>
        </is>
      </c>
      <c r="C22" s="79" t="n">
        <v>690</v>
      </c>
      <c r="D22" s="83" t="n">
        <v>0.93</v>
      </c>
      <c r="E22" s="83" t="n">
        <v>0.87</v>
      </c>
      <c r="F22" s="83" t="n">
        <v>0.79</v>
      </c>
      <c r="G22" s="83" t="n">
        <v>0.71</v>
      </c>
      <c r="H22" s="83" t="n">
        <v>0.65</v>
      </c>
      <c r="I22" s="84">
        <f>(E22-F22)*100</f>
        <v>8</v>
      </c>
    </row>
    <row r="23">
      <c r="B23" s="21" t="inlineStr">
        <is>
          <t>May 2026</t>
        </is>
      </c>
      <c r="C23" s="79" t="n">
        <v>720</v>
      </c>
      <c r="D23" s="83" t="n">
        <v>0.92</v>
      </c>
      <c r="E23" s="83" t="n">
        <v>0.86</v>
      </c>
      <c r="F23" s="83" t="n">
        <v>0.78</v>
      </c>
      <c r="G23" s="83" t="n">
        <v>0.7</v>
      </c>
      <c r="H23" s="83" t="n">
        <v>0.64</v>
      </c>
      <c r="I23" s="84">
        <f>(E23-F23)*100</f>
        <v>8</v>
      </c>
    </row>
    <row r="24">
      <c r="B24" s="21" t="inlineStr">
        <is>
          <t>Jun 2026</t>
        </is>
      </c>
      <c r="C24" s="79" t="n">
        <v>705</v>
      </c>
      <c r="D24" s="83" t="n">
        <v>0.93</v>
      </c>
      <c r="E24" s="83" t="n">
        <v>0.86</v>
      </c>
      <c r="F24" s="83" t="n">
        <v>0.77</v>
      </c>
      <c r="G24" s="83" t="n">
        <v>0.6899999999999999</v>
      </c>
      <c r="H24" s="83" t="n">
        <v>0.63</v>
      </c>
      <c r="I24" s="84">
        <f>(E24-F24)*100</f>
        <v>9</v>
      </c>
    </row>
    <row r="25">
      <c r="B25" s="21" t="inlineStr">
        <is>
          <t>Jul 2026</t>
        </is>
      </c>
      <c r="C25" s="79" t="n">
        <v>760</v>
      </c>
      <c r="D25" s="83" t="n">
        <v>0.92</v>
      </c>
      <c r="E25" s="83" t="n">
        <v>0.85</v>
      </c>
      <c r="F25" s="83" t="n">
        <v>0.77</v>
      </c>
      <c r="G25" s="83" t="n">
        <v>0.7</v>
      </c>
      <c r="H25" s="83" t="n">
        <v>0.64</v>
      </c>
      <c r="I25" s="84">
        <f>(E25-F25)*100</f>
        <v>8</v>
      </c>
    </row>
    <row r="26">
      <c r="B26" s="21" t="inlineStr">
        <is>
          <t>Aug 2026</t>
        </is>
      </c>
      <c r="C26" s="79" t="n">
        <v>790</v>
      </c>
      <c r="D26" s="83" t="n">
        <v>0.91</v>
      </c>
      <c r="E26" s="83" t="n">
        <v>0.85</v>
      </c>
      <c r="F26" s="83" t="n">
        <v>0.76</v>
      </c>
      <c r="G26" s="83" t="n">
        <v>0.6899999999999999</v>
      </c>
      <c r="H26" s="83" t="inlineStr">
        <is>
          <t>–</t>
        </is>
      </c>
      <c r="I26" s="84">
        <f>(E26-F26)*100</f>
        <v>9</v>
      </c>
    </row>
    <row r="27">
      <c r="B27" s="21" t="inlineStr">
        <is>
          <t>Sep 2026</t>
        </is>
      </c>
      <c r="C27" s="79" t="n">
        <v>800</v>
      </c>
      <c r="D27" s="83" t="n">
        <v>0.92</v>
      </c>
      <c r="E27" s="83" t="n">
        <v>0.84</v>
      </c>
      <c r="F27" s="83" t="n">
        <v>0.77</v>
      </c>
      <c r="G27" s="83" t="inlineStr">
        <is>
          <t>–</t>
        </is>
      </c>
      <c r="H27" s="83" t="inlineStr">
        <is>
          <t>–</t>
        </is>
      </c>
      <c r="I27" s="84">
        <f>(E27-F27)*100</f>
        <v>7</v>
      </c>
    </row>
    <row r="30">
      <c r="B30" s="8" t="inlineStr">
        <is>
          <t>Partners by average jobs per working day, Week 42</t>
        </is>
      </c>
    </row>
    <row r="31" ht="30" customHeight="1">
      <c r="B31" s="25" t="inlineStr">
        <is>
          <t>Band</t>
        </is>
      </c>
      <c r="C31" s="26" t="inlineStr">
        <is>
          <t>Partners</t>
        </is>
      </c>
      <c r="D31" s="26" t="inlineStr">
        <is>
          <t>Share</t>
        </is>
      </c>
    </row>
    <row r="32">
      <c r="B32" s="62" t="inlineStr">
        <is>
          <t>&lt; 0.5</t>
        </is>
      </c>
      <c r="C32" s="79" t="n">
        <v>560</v>
      </c>
      <c r="D32" s="80">
        <f>C32/SUM($C$32:$C$37)</f>
        <v>0.0748663101604278</v>
      </c>
    </row>
    <row r="33">
      <c r="B33" s="62" t="inlineStr">
        <is>
          <t>0.5–1</t>
        </is>
      </c>
      <c r="C33" s="79" t="n">
        <v>980</v>
      </c>
      <c r="D33" s="80">
        <f>C33/SUM($C$32:$C$37)</f>
        <v>0.131016042780749</v>
      </c>
    </row>
    <row r="34">
      <c r="B34" s="62" t="inlineStr">
        <is>
          <t>1–1.5</t>
        </is>
      </c>
      <c r="C34" s="79" t="n">
        <v>1720</v>
      </c>
      <c r="D34" s="80">
        <f>C34/SUM($C$32:$C$37)</f>
        <v>0.229946524064171</v>
      </c>
    </row>
    <row r="35">
      <c r="B35" s="62" t="inlineStr">
        <is>
          <t>1.5–2</t>
        </is>
      </c>
      <c r="C35" s="79" t="n">
        <v>2240</v>
      </c>
      <c r="D35" s="80">
        <f>C35/SUM($C$32:$C$37)</f>
        <v>0.299465240641711</v>
      </c>
    </row>
    <row r="36">
      <c r="B36" s="62" t="inlineStr">
        <is>
          <t>2–2.5</t>
        </is>
      </c>
      <c r="C36" s="79" t="n">
        <v>1330</v>
      </c>
      <c r="D36" s="80">
        <f>C36/SUM($C$32:$C$37)</f>
        <v>0.177807486631016</v>
      </c>
    </row>
    <row r="37">
      <c r="B37" s="62" t="inlineStr">
        <is>
          <t>2.5+</t>
        </is>
      </c>
      <c r="C37" s="79" t="n">
        <v>650</v>
      </c>
      <c r="D37" s="80">
        <f>C37/SUM($C$32:$C$37)</f>
        <v>0.0868983957219251</v>
      </c>
    </row>
    <row r="38">
      <c r="B38" s="21" t="inlineStr">
        <is>
          <t>Total</t>
        </is>
      </c>
      <c r="C38" s="81">
        <f>SUM(C32:C37)</f>
        <v>7480</v>
      </c>
      <c r="E38" s="11" t="str">
        <f>IF(C38=SUMIFS(d_act,d_week,42),"Ties to active partners","Does not tie: check")</f>
        <v>Ties to active partners</v>
      </c>
    </row>
    <row r="39">
      <c r="B39" s="21" t="inlineStr">
        <is>
          <t>Under 1 job a day</t>
        </is>
      </c>
      <c r="C39" s="81">
        <f>C32+C33</f>
        <v>1540</v>
      </c>
      <c r="D39" s="85">
        <f>C39/C38</f>
        <v>0.205882352941176</v>
      </c>
    </row>
    <row r="41">
      <c r="B41" s="21" t="inlineStr">
        <is>
          <t>Utilisation lever: extra jobs a week if jobs per partner per day hit target</t>
        </is>
      </c>
      <c r="H41" s="86">
        <f>SUMIFS(d_act,d_week,42)*6*(t_jppd-SUMIFS(d_comp,d_week,42)/(SUMIFS(d_act,d_week,42)*6))</f>
        <v>2852</v>
      </c>
    </row>
  </sheetData>
  <conditionalFormatting sqref="D22:H27">
    <cfRule type="colorScale" priority="1">
      <colorScale>
        <cfvo type="num" val="0.6"/>
        <cfvo type="num" val="0.95"/>
        <color rgb="00CDE2FB"/>
        <color rgb="001C5CAB"/>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2A78D6"/>
    <outlinePr summaryBelow="1" summaryRight="1"/>
    <pageSetUpPr fitToPage="1"/>
  </sheetPr>
  <dimension ref="B1:L4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8" customWidth="1" min="3" max="3"/>
    <col width="11" customWidth="1" min="4" max="4"/>
    <col width="11" customWidth="1" min="5" max="5"/>
    <col width="13" customWidth="1" min="6" max="6"/>
    <col width="13" customWidth="1" min="7" max="7"/>
    <col width="13" customWidth="1" min="8" max="8"/>
    <col width="11" customWidth="1" min="9" max="9"/>
    <col width="14" customWidth="1" min="10" max="10"/>
    <col width="13" customWidth="1" min="11" max="11"/>
    <col width="13" customWidth="1" min="12" max="12"/>
  </cols>
  <sheetData>
    <row r="1" ht="26" customHeight="1">
      <c r="B1" s="20" t="inlineStr">
        <is>
          <t>Quality, CX &amp; kits</t>
        </is>
      </c>
    </row>
    <row r="2">
      <c r="B2" s="19" t="inlineStr">
        <is>
          <t>Complaints by service and hub, kit items reported missing. Owners: Training &amp; QA, CX, Inventory.</t>
        </is>
      </c>
    </row>
    <row r="4" ht="30" customHeight="1">
      <c r="B4" s="25" t="inlineStr">
        <is>
          <t>Service</t>
        </is>
      </c>
      <c r="C4" s="26" t="inlineStr">
        <is>
          <t>Jobs W41</t>
        </is>
      </c>
      <c r="D4" s="26" t="inlineStr">
        <is>
          <t>Complaints W41</t>
        </is>
      </c>
      <c r="E4" s="26" t="inlineStr">
        <is>
          <t>Jobs W42</t>
        </is>
      </c>
      <c r="F4" s="26" t="inlineStr">
        <is>
          <t>Complaints W42</t>
        </is>
      </c>
      <c r="G4" s="26" t="inlineStr">
        <is>
          <t>Per 1,000 W41</t>
        </is>
      </c>
      <c r="H4" s="26" t="inlineStr">
        <is>
          <t>Per 1,000 W42</t>
        </is>
      </c>
      <c r="I4" s="26" t="inlineStr">
        <is>
          <t>Change</t>
        </is>
      </c>
      <c r="J4" s="26" t="inlineStr">
        <is>
          <t>Share of the rise</t>
        </is>
      </c>
    </row>
    <row r="5">
      <c r="B5" s="32" t="inlineStr">
        <is>
          <t>Waxing</t>
        </is>
      </c>
      <c r="C5" s="87" t="n">
        <v>17160</v>
      </c>
      <c r="D5" s="87" t="n">
        <v>160</v>
      </c>
      <c r="E5" s="87" t="n">
        <v>17032</v>
      </c>
      <c r="F5" s="87" t="n">
        <v>253</v>
      </c>
      <c r="G5" s="52">
        <f>D5/C5*1000</f>
        <v>9.32400932400932</v>
      </c>
      <c r="H5" s="51">
        <f>F5/E5*1000</f>
        <v>14.8543917332081</v>
      </c>
      <c r="I5" s="53">
        <f>H5-G5</f>
        <v>5.53038240919875</v>
      </c>
      <c r="J5" s="45">
        <f>(F5-D5)/(F$13-D$13)</f>
        <v>0.781512605042017</v>
      </c>
    </row>
    <row r="6">
      <c r="B6" s="39" t="inlineStr">
        <is>
          <t>Facial &amp; clean-up</t>
        </is>
      </c>
      <c r="C6" s="87" t="n">
        <v>14300</v>
      </c>
      <c r="D6" s="87" t="n">
        <v>112</v>
      </c>
      <c r="E6" s="87" t="n">
        <v>14193</v>
      </c>
      <c r="F6" s="87" t="n">
        <v>121</v>
      </c>
      <c r="G6" s="52">
        <f>D6/C6*1000</f>
        <v>7.83216783216783</v>
      </c>
      <c r="H6" s="51">
        <f>F6/E6*1000</f>
        <v>8.52532938772635</v>
      </c>
      <c r="I6" s="53">
        <f>H6-G6</f>
        <v>0.693161555558512</v>
      </c>
      <c r="J6" s="45">
        <f>(F6-D6)/(F$13-D$13)</f>
        <v>0.0756302521008403</v>
      </c>
    </row>
    <row r="7">
      <c r="B7" s="39" t="inlineStr">
        <is>
          <t>Massage &amp; body</t>
        </is>
      </c>
      <c r="C7" s="87" t="n">
        <v>6435</v>
      </c>
      <c r="D7" s="87" t="n">
        <v>40</v>
      </c>
      <c r="E7" s="87" t="n">
        <v>6387</v>
      </c>
      <c r="F7" s="87" t="n">
        <v>40</v>
      </c>
      <c r="G7" s="52">
        <f>D7/C7*1000</f>
        <v>6.21600621600622</v>
      </c>
      <c r="H7" s="51">
        <f>F7/E7*1000</f>
        <v>6.26272115234069</v>
      </c>
      <c r="I7" s="53">
        <f>H7-G7</f>
        <v>0.0467149363344763</v>
      </c>
      <c r="J7" s="45">
        <f>(F7-D7)/(F$13-D$13)</f>
        <v>0</v>
      </c>
    </row>
    <row r="8">
      <c r="B8" s="39" t="inlineStr">
        <is>
          <t>Hair care</t>
        </is>
      </c>
      <c r="C8" s="87" t="n">
        <v>9295</v>
      </c>
      <c r="D8" s="87" t="n">
        <v>77</v>
      </c>
      <c r="E8" s="87" t="n">
        <v>9225</v>
      </c>
      <c r="F8" s="87" t="n">
        <v>83</v>
      </c>
      <c r="G8" s="52">
        <f>D8/C8*1000</f>
        <v>8.28402366863905</v>
      </c>
      <c r="H8" s="51">
        <f>F8/E8*1000</f>
        <v>8.99728997289973</v>
      </c>
      <c r="I8" s="53">
        <f>H8-G8</f>
        <v>0.713266304260676</v>
      </c>
      <c r="J8" s="45">
        <f>(F8-D8)/(F$13-D$13)</f>
        <v>0.0504201680672269</v>
      </c>
    </row>
    <row r="9">
      <c r="B9" s="39" t="inlineStr">
        <is>
          <t>Mani-pedi</t>
        </is>
      </c>
      <c r="C9" s="87" t="n">
        <v>8580</v>
      </c>
      <c r="D9" s="87" t="n">
        <v>60</v>
      </c>
      <c r="E9" s="87" t="n">
        <v>8516</v>
      </c>
      <c r="F9" s="87" t="n">
        <v>61</v>
      </c>
      <c r="G9" s="52">
        <f>D9/C9*1000</f>
        <v>6.99300699300699</v>
      </c>
      <c r="H9" s="51">
        <f>F9/E9*1000</f>
        <v>7.16298731798967</v>
      </c>
      <c r="I9" s="53">
        <f>H9-G9</f>
        <v>0.169980324982673</v>
      </c>
      <c r="J9" s="45">
        <f>(F9-D9)/(F$13-D$13)</f>
        <v>0.00840336134453782</v>
      </c>
    </row>
    <row r="10">
      <c r="B10" s="39" t="inlineStr">
        <is>
          <t>Threading &amp; de-tan</t>
        </is>
      </c>
      <c r="C10" s="87" t="n">
        <v>7865</v>
      </c>
      <c r="D10" s="87" t="n">
        <v>53</v>
      </c>
      <c r="E10" s="87" t="n">
        <v>7806</v>
      </c>
      <c r="F10" s="87" t="n">
        <v>53</v>
      </c>
      <c r="G10" s="52">
        <f>D10/C10*1000</f>
        <v>6.73871582962492</v>
      </c>
      <c r="H10" s="51">
        <f>F10/E10*1000</f>
        <v>6.78964898795798</v>
      </c>
      <c r="I10" s="53">
        <f>H10-G10</f>
        <v>0.050933158333061</v>
      </c>
      <c r="J10" s="45">
        <f>(F10-D10)/(F$13-D$13)</f>
        <v>0</v>
      </c>
    </row>
    <row r="11">
      <c r="B11" s="39" t="inlineStr">
        <is>
          <t>Laser &amp; Hydra</t>
        </is>
      </c>
      <c r="C11" s="87" t="n">
        <v>4290</v>
      </c>
      <c r="D11" s="87" t="n">
        <v>45</v>
      </c>
      <c r="E11" s="87" t="n">
        <v>4386</v>
      </c>
      <c r="F11" s="87" t="n">
        <v>50</v>
      </c>
      <c r="G11" s="52">
        <f>D11/C11*1000</f>
        <v>10.4895104895105</v>
      </c>
      <c r="H11" s="51">
        <f>F11/E11*1000</f>
        <v>11.3999088007296</v>
      </c>
      <c r="I11" s="53">
        <f>H11-G11</f>
        <v>0.910398311219105</v>
      </c>
      <c r="J11" s="45">
        <f>(F11-D11)/(F$13-D$13)</f>
        <v>0.0420168067226891</v>
      </c>
    </row>
    <row r="12">
      <c r="B12" s="39" t="inlineStr">
        <is>
          <t>Makeup</t>
        </is>
      </c>
      <c r="C12" s="87" t="n">
        <v>3575</v>
      </c>
      <c r="D12" s="87" t="n">
        <v>32</v>
      </c>
      <c r="E12" s="87" t="n">
        <v>3655</v>
      </c>
      <c r="F12" s="87" t="n">
        <v>37</v>
      </c>
      <c r="G12" s="52">
        <f>D12/C12*1000</f>
        <v>8.95104895104895</v>
      </c>
      <c r="H12" s="51">
        <f>F12/E12*1000</f>
        <v>10.1231190150479</v>
      </c>
      <c r="I12" s="53">
        <f>H12-G12</f>
        <v>1.17207006399893</v>
      </c>
      <c r="J12" s="45">
        <f>(F12-D12)/(F$13-D$13)</f>
        <v>0.0420168067226891</v>
      </c>
    </row>
    <row r="13">
      <c r="B13" s="21" t="inlineStr">
        <is>
          <t>All services</t>
        </is>
      </c>
      <c r="C13" s="81">
        <f>SUM(C5:C12)</f>
        <v>71500</v>
      </c>
      <c r="D13" s="81">
        <f>SUM(D5:D12)</f>
        <v>579</v>
      </c>
      <c r="E13" s="81">
        <f>SUM(E5:E12)</f>
        <v>71200</v>
      </c>
      <c r="F13" s="81">
        <f>SUM(F5:F12)</f>
        <v>698</v>
      </c>
      <c r="G13" s="88">
        <f>D13/C13*1000</f>
        <v>8.0979020979021</v>
      </c>
      <c r="H13" s="88">
        <f>F13/E13*1000</f>
        <v>9.80337078651685</v>
      </c>
      <c r="I13" s="89">
        <f>H13-G13</f>
        <v>1.70546868861476</v>
      </c>
      <c r="K13" s="11" t="str">
        <f>IF(AND(E13=SUMIFS(d_comp,d_week,42),F13=SUMIFS(d_cpl,d_week,42)),"Ties to Data tab","Does not tie: check")</f>
        <v>Ties to Data tab</v>
      </c>
    </row>
    <row r="15">
      <c r="B15" s="8" t="inlineStr">
        <is>
          <t>Hubs, Week 42 (12 of about 140)</t>
        </is>
      </c>
    </row>
    <row r="16" ht="30" customHeight="1">
      <c r="B16" s="25" t="inlineStr">
        <is>
          <t>Hub</t>
        </is>
      </c>
      <c r="C16" s="26" t="inlineStr">
        <is>
          <t>City</t>
        </is>
      </c>
      <c r="D16" s="26" t="inlineStr">
        <is>
          <t>Partners</t>
        </is>
      </c>
      <c r="E16" s="26" t="inlineStr">
        <is>
          <t>Jobs</t>
        </is>
      </c>
      <c r="F16" s="26" t="inlineStr">
        <is>
          <t>Complaints</t>
        </is>
      </c>
      <c r="G16" s="26" t="inlineStr">
        <is>
          <t>Kit stock-out partners</t>
        </is>
      </c>
      <c r="H16" s="26" t="inlineStr">
        <is>
          <t>Partner cancels</t>
        </is>
      </c>
      <c r="I16" s="26" t="inlineStr">
        <is>
          <t>Assigned</t>
        </is>
      </c>
      <c r="J16" s="26" t="inlineStr">
        <is>
          <t>Complaints / 1,000</t>
        </is>
      </c>
      <c r="K16" s="26" t="inlineStr">
        <is>
          <t>Kit stock-out</t>
        </is>
      </c>
      <c r="L16" s="26" t="inlineStr">
        <is>
          <t>Partner cancel</t>
        </is>
      </c>
    </row>
    <row r="17">
      <c r="B17" s="32" t="inlineStr">
        <is>
          <t>GGN-2</t>
        </is>
      </c>
      <c r="C17" s="39" t="inlineStr">
        <is>
          <t>Gurugram</t>
        </is>
      </c>
      <c r="D17" s="87" t="n">
        <v>61</v>
      </c>
      <c r="E17" s="87" t="n">
        <v>612</v>
      </c>
      <c r="F17" s="87" t="n">
        <v>15</v>
      </c>
      <c r="G17" s="87" t="n">
        <v>6</v>
      </c>
      <c r="H17" s="87" t="n">
        <v>21</v>
      </c>
      <c r="I17" s="87" t="n">
        <v>650</v>
      </c>
      <c r="J17" s="51">
        <f>F17/E17*1000</f>
        <v>24.5098039215686</v>
      </c>
      <c r="K17" s="34">
        <f>G17/D17</f>
        <v>0.0983606557377049</v>
      </c>
      <c r="L17" s="34">
        <f>H17/I17</f>
        <v>0.0323076923076923</v>
      </c>
    </row>
    <row r="18">
      <c r="B18" s="32" t="inlineStr">
        <is>
          <t>GGN-4</t>
        </is>
      </c>
      <c r="C18" s="39" t="inlineStr">
        <is>
          <t>Gurugram</t>
        </is>
      </c>
      <c r="D18" s="87" t="n">
        <v>57</v>
      </c>
      <c r="E18" s="87" t="n">
        <v>571</v>
      </c>
      <c r="F18" s="87" t="n">
        <v>12</v>
      </c>
      <c r="G18" s="87" t="n">
        <v>5</v>
      </c>
      <c r="H18" s="87" t="n">
        <v>15</v>
      </c>
      <c r="I18" s="87" t="n">
        <v>604</v>
      </c>
      <c r="J18" s="51">
        <f>F18/E18*1000</f>
        <v>21.015761821366</v>
      </c>
      <c r="K18" s="34">
        <f>G18/D18</f>
        <v>0.087719298245614</v>
      </c>
      <c r="L18" s="34">
        <f>H18/I18</f>
        <v>0.0248344370860927</v>
      </c>
    </row>
    <row r="19">
      <c r="B19" s="32" t="inlineStr">
        <is>
          <t>NOI-1</t>
        </is>
      </c>
      <c r="C19" s="39" t="inlineStr">
        <is>
          <t>Noida &amp; Ghaziabad</t>
        </is>
      </c>
      <c r="D19" s="87" t="n">
        <v>64</v>
      </c>
      <c r="E19" s="87" t="n">
        <v>598</v>
      </c>
      <c r="F19" s="87" t="n">
        <v>7</v>
      </c>
      <c r="G19" s="87" t="n">
        <v>4</v>
      </c>
      <c r="H19" s="87" t="n">
        <v>16</v>
      </c>
      <c r="I19" s="87" t="n">
        <v>628</v>
      </c>
      <c r="J19" s="51">
        <f>F19/E19*1000</f>
        <v>11.7056856187291</v>
      </c>
      <c r="K19" s="34">
        <f>G19/D19</f>
        <v>0.0625</v>
      </c>
      <c r="L19" s="34">
        <f>H19/I19</f>
        <v>0.0254777070063694</v>
      </c>
    </row>
    <row r="20">
      <c r="B20" s="32" t="inlineStr">
        <is>
          <t>GGN-1</t>
        </is>
      </c>
      <c r="C20" s="39" t="inlineStr">
        <is>
          <t>Gurugram</t>
        </is>
      </c>
      <c r="D20" s="87" t="n">
        <v>55</v>
      </c>
      <c r="E20" s="87" t="n">
        <v>540</v>
      </c>
      <c r="F20" s="87" t="n">
        <v>7</v>
      </c>
      <c r="G20" s="87" t="n">
        <v>3</v>
      </c>
      <c r="H20" s="87" t="n">
        <v>9</v>
      </c>
      <c r="I20" s="87" t="n">
        <v>566</v>
      </c>
      <c r="J20" s="51">
        <f>F20/E20*1000</f>
        <v>12.962962962963</v>
      </c>
      <c r="K20" s="34">
        <f>G20/D20</f>
        <v>0.0545454545454545</v>
      </c>
      <c r="L20" s="34">
        <f>H20/I20</f>
        <v>0.0159010600706714</v>
      </c>
    </row>
    <row r="21">
      <c r="B21" s="32" t="inlineStr">
        <is>
          <t>DEL-3</t>
        </is>
      </c>
      <c r="C21" s="39" t="inlineStr">
        <is>
          <t>Delhi</t>
        </is>
      </c>
      <c r="D21" s="87" t="n">
        <v>66</v>
      </c>
      <c r="E21" s="87" t="n">
        <v>640</v>
      </c>
      <c r="F21" s="87" t="n">
        <v>6</v>
      </c>
      <c r="G21" s="87" t="n">
        <v>2</v>
      </c>
      <c r="H21" s="87" t="n">
        <v>13</v>
      </c>
      <c r="I21" s="87" t="n">
        <v>664</v>
      </c>
      <c r="J21" s="51">
        <f>F21/E21*1000</f>
        <v>9.375</v>
      </c>
      <c r="K21" s="34">
        <f>G21/D21</f>
        <v>0.0303030303030303</v>
      </c>
      <c r="L21" s="34">
        <f>H21/I21</f>
        <v>0.0195783132530121</v>
      </c>
    </row>
    <row r="22">
      <c r="B22" s="32" t="inlineStr">
        <is>
          <t>NOI-3</t>
        </is>
      </c>
      <c r="C22" s="39" t="inlineStr">
        <is>
          <t>Noida &amp; Ghaziabad</t>
        </is>
      </c>
      <c r="D22" s="87" t="n">
        <v>52</v>
      </c>
      <c r="E22" s="87" t="n">
        <v>489</v>
      </c>
      <c r="F22" s="87" t="n">
        <v>5</v>
      </c>
      <c r="G22" s="87" t="n">
        <v>3</v>
      </c>
      <c r="H22" s="87" t="n">
        <v>8</v>
      </c>
      <c r="I22" s="87" t="n">
        <v>512</v>
      </c>
      <c r="J22" s="51">
        <f>F22/E22*1000</f>
        <v>10.2249488752556</v>
      </c>
      <c r="K22" s="34">
        <f>G22/D22</f>
        <v>0.0576923076923077</v>
      </c>
      <c r="L22" s="34">
        <f>H22/I22</f>
        <v>0.015625</v>
      </c>
    </row>
    <row r="23">
      <c r="B23" s="32" t="inlineStr">
        <is>
          <t>DEL-1</t>
        </is>
      </c>
      <c r="C23" s="39" t="inlineStr">
        <is>
          <t>Delhi</t>
        </is>
      </c>
      <c r="D23" s="87" t="n">
        <v>70</v>
      </c>
      <c r="E23" s="87" t="n">
        <v>702</v>
      </c>
      <c r="F23" s="87" t="n">
        <v>6</v>
      </c>
      <c r="G23" s="87" t="n">
        <v>1</v>
      </c>
      <c r="H23" s="87" t="n">
        <v>9</v>
      </c>
      <c r="I23" s="87" t="n">
        <v>722</v>
      </c>
      <c r="J23" s="51">
        <f>F23/E23*1000</f>
        <v>8.54700854700855</v>
      </c>
      <c r="K23" s="34">
        <f>G23/D23</f>
        <v>0.0142857142857143</v>
      </c>
      <c r="L23" s="34">
        <f>H23/I23</f>
        <v>0.0124653739612188</v>
      </c>
    </row>
    <row r="24">
      <c r="B24" s="32" t="inlineStr">
        <is>
          <t>MUM-2</t>
        </is>
      </c>
      <c r="C24" s="39" t="inlineStr">
        <is>
          <t>Mumbai</t>
        </is>
      </c>
      <c r="D24" s="87" t="n">
        <v>58</v>
      </c>
      <c r="E24" s="87" t="n">
        <v>655</v>
      </c>
      <c r="F24" s="87" t="n">
        <v>5</v>
      </c>
      <c r="G24" s="87" t="n">
        <v>1</v>
      </c>
      <c r="H24" s="87" t="n">
        <v>10</v>
      </c>
      <c r="I24" s="87" t="n">
        <v>688</v>
      </c>
      <c r="J24" s="51">
        <f>F24/E24*1000</f>
        <v>7.63358778625954</v>
      </c>
      <c r="K24" s="34">
        <f>G24/D24</f>
        <v>0.0172413793103448</v>
      </c>
      <c r="L24" s="34">
        <f>H24/I24</f>
        <v>0.0145348837209302</v>
      </c>
    </row>
    <row r="25">
      <c r="B25" s="32" t="inlineStr">
        <is>
          <t>BLR-1</t>
        </is>
      </c>
      <c r="C25" s="39" t="inlineStr">
        <is>
          <t>Bengaluru</t>
        </is>
      </c>
      <c r="D25" s="87" t="n">
        <v>54</v>
      </c>
      <c r="E25" s="87" t="n">
        <v>588</v>
      </c>
      <c r="F25" s="87" t="n">
        <v>5</v>
      </c>
      <c r="G25" s="87" t="n">
        <v>1</v>
      </c>
      <c r="H25" s="87" t="n">
        <v>5</v>
      </c>
      <c r="I25" s="87" t="n">
        <v>610</v>
      </c>
      <c r="J25" s="51">
        <f>F25/E25*1000</f>
        <v>8.50340136054422</v>
      </c>
      <c r="K25" s="34">
        <f>G25/D25</f>
        <v>0.0185185185185185</v>
      </c>
      <c r="L25" s="34">
        <f>H25/I25</f>
        <v>0.00819672131147541</v>
      </c>
    </row>
    <row r="26">
      <c r="B26" s="32" t="inlineStr">
        <is>
          <t>MUM-4</t>
        </is>
      </c>
      <c r="C26" s="39" t="inlineStr">
        <is>
          <t>Mumbai</t>
        </is>
      </c>
      <c r="D26" s="87" t="n">
        <v>49</v>
      </c>
      <c r="E26" s="87" t="n">
        <v>560</v>
      </c>
      <c r="F26" s="87" t="n">
        <v>4</v>
      </c>
      <c r="G26" s="87" t="n">
        <v>0</v>
      </c>
      <c r="H26" s="87" t="n">
        <v>7</v>
      </c>
      <c r="I26" s="87" t="n">
        <v>590</v>
      </c>
      <c r="J26" s="51">
        <f>F26/E26*1000</f>
        <v>7.14285714285714</v>
      </c>
      <c r="K26" s="34">
        <f>G26/D26</f>
        <v>0</v>
      </c>
      <c r="L26" s="34">
        <f>H26/I26</f>
        <v>0.011864406779661</v>
      </c>
    </row>
    <row r="27">
      <c r="B27" s="32" t="inlineStr">
        <is>
          <t>HYD-2</t>
        </is>
      </c>
      <c r="C27" s="39" t="inlineStr">
        <is>
          <t>Hyderabad</t>
        </is>
      </c>
      <c r="D27" s="87" t="n">
        <v>50</v>
      </c>
      <c r="E27" s="87" t="n">
        <v>496</v>
      </c>
      <c r="F27" s="87" t="n">
        <v>4</v>
      </c>
      <c r="G27" s="87" t="n">
        <v>1</v>
      </c>
      <c r="H27" s="87" t="n">
        <v>4</v>
      </c>
      <c r="I27" s="87" t="n">
        <v>512</v>
      </c>
      <c r="J27" s="51">
        <f>F27/E27*1000</f>
        <v>8.06451612903226</v>
      </c>
      <c r="K27" s="34">
        <f>G27/D27</f>
        <v>0.02</v>
      </c>
      <c r="L27" s="34">
        <f>H27/I27</f>
        <v>0.0078125</v>
      </c>
    </row>
    <row r="28">
      <c r="B28" s="32" t="inlineStr">
        <is>
          <t>PUN-1</t>
        </is>
      </c>
      <c r="C28" s="39" t="inlineStr">
        <is>
          <t>Pune</t>
        </is>
      </c>
      <c r="D28" s="87" t="n">
        <v>41</v>
      </c>
      <c r="E28" s="87" t="n">
        <v>402</v>
      </c>
      <c r="F28" s="87" t="n">
        <v>3</v>
      </c>
      <c r="G28" s="87" t="n">
        <v>0</v>
      </c>
      <c r="H28" s="87" t="n">
        <v>5</v>
      </c>
      <c r="I28" s="87" t="n">
        <v>418</v>
      </c>
      <c r="J28" s="51">
        <f>F28/E28*1000</f>
        <v>7.46268656716418</v>
      </c>
      <c r="K28" s="34">
        <f>G28/D28</f>
        <v>0</v>
      </c>
      <c r="L28" s="34">
        <f>H28/I28</f>
        <v>0.0119617224880383</v>
      </c>
    </row>
    <row r="29">
      <c r="B29" s="21" t="inlineStr">
        <is>
          <t>Correlation, hub kit stock-out vs partner cancel</t>
        </is>
      </c>
      <c r="G29" s="90">
        <f>CORREL(K17:K28,L17:L28)</f>
        <v>0.859455011520841</v>
      </c>
      <c r="H29" s="11" t="inlineStr">
        <is>
          <t>Hubs short on kits cancel more. Fix kits upstream.</t>
        </is>
      </c>
    </row>
    <row r="31">
      <c r="B31" s="8" t="inlineStr">
        <is>
          <t>Kit items reported missing (partners reporting each item)</t>
        </is>
      </c>
    </row>
    <row r="32" ht="30" customHeight="1">
      <c r="B32" s="25" t="inlineStr">
        <is>
          <t>Item</t>
        </is>
      </c>
      <c r="C32" s="26" t="inlineStr">
        <is>
          <t>W41</t>
        </is>
      </c>
      <c r="D32" s="26" t="inlineStr">
        <is>
          <t>W42</t>
        </is>
      </c>
      <c r="E32" s="26" t="inlineStr">
        <is>
          <t>Change</t>
        </is>
      </c>
      <c r="F32" s="26" t="inlineStr">
        <is>
          <t>Share of W42 reports</t>
        </is>
      </c>
      <c r="G32" s="26" t="inlineStr">
        <is>
          <t>Top 5?</t>
        </is>
      </c>
    </row>
    <row r="33">
      <c r="B33" s="39" t="inlineStr">
        <is>
          <t>Wax &amp; strips</t>
        </is>
      </c>
      <c r="C33" s="87" t="n">
        <v>52</v>
      </c>
      <c r="D33" s="87" t="n">
        <v>118</v>
      </c>
      <c r="E33" s="42">
        <f>D33/C33-1</f>
        <v>1.26923076923077</v>
      </c>
      <c r="F33" s="45">
        <f>D33/SUM($D$33:$D$39)</f>
        <v>0.334277620396601</v>
      </c>
      <c r="G33" s="91" t="str">
        <f>IF(RANK(D33,$D$33:$D$39)&lt;=5,"Yes","")</f>
        <v>Yes</v>
      </c>
    </row>
    <row r="34">
      <c r="B34" s="39" t="inlineStr">
        <is>
          <t>Disposable sheets &amp; towels</t>
        </is>
      </c>
      <c r="C34" s="87" t="n">
        <v>38</v>
      </c>
      <c r="D34" s="87" t="n">
        <v>74</v>
      </c>
      <c r="E34" s="42">
        <f>D34/C34-1</f>
        <v>0.947368421052632</v>
      </c>
      <c r="F34" s="45">
        <f>D34/SUM($D$33:$D$39)</f>
        <v>0.209631728045326</v>
      </c>
      <c r="G34" s="91" t="str">
        <f>IF(RANK(D34,$D$33:$D$39)&lt;=5,"Yes","")</f>
        <v>Yes</v>
      </c>
    </row>
    <row r="35">
      <c r="B35" s="39" t="inlineStr">
        <is>
          <t>Single-use facial kits</t>
        </is>
      </c>
      <c r="C35" s="87" t="n">
        <v>31</v>
      </c>
      <c r="D35" s="87" t="n">
        <v>61</v>
      </c>
      <c r="E35" s="42">
        <f>D35/C35-1</f>
        <v>0.967741935483871</v>
      </c>
      <c r="F35" s="45">
        <f>D35/SUM($D$33:$D$39)</f>
        <v>0.172804532577904</v>
      </c>
      <c r="G35" s="91" t="str">
        <f>IF(RANK(D35,$D$33:$D$39)&lt;=5,"Yes","")</f>
        <v>Yes</v>
      </c>
    </row>
    <row r="36">
      <c r="B36" s="39" t="inlineStr">
        <is>
          <t>Gloves &amp; hygiene pack</t>
        </is>
      </c>
      <c r="C36" s="87" t="n">
        <v>24</v>
      </c>
      <c r="D36" s="87" t="n">
        <v>45</v>
      </c>
      <c r="E36" s="42">
        <f>D36/C36-1</f>
        <v>0.875</v>
      </c>
      <c r="F36" s="45">
        <f>D36/SUM($D$33:$D$39)</f>
        <v>0.127478753541077</v>
      </c>
      <c r="G36" s="91" t="str">
        <f>IF(RANK(D36,$D$33:$D$39)&lt;=5,"Yes","")</f>
        <v>Yes</v>
      </c>
    </row>
    <row r="37">
      <c r="B37" s="39" t="inlineStr">
        <is>
          <t>Threading &amp; bleach</t>
        </is>
      </c>
      <c r="C37" s="87" t="n">
        <v>14</v>
      </c>
      <c r="D37" s="87" t="n">
        <v>22</v>
      </c>
      <c r="E37" s="42">
        <f>D37/C37-1</f>
        <v>0.571428571428571</v>
      </c>
      <c r="F37" s="45">
        <f>D37/SUM($D$33:$D$39)</f>
        <v>0.0623229461756374</v>
      </c>
      <c r="G37" s="91" t="str">
        <f>IF(RANK(D37,$D$33:$D$39)&lt;=5,"Yes","")</f>
        <v>Yes</v>
      </c>
    </row>
    <row r="38">
      <c r="B38" s="39" t="inlineStr">
        <is>
          <t>Hair spa &amp; colour</t>
        </is>
      </c>
      <c r="C38" s="87" t="n">
        <v>12</v>
      </c>
      <c r="D38" s="87" t="n">
        <v>19</v>
      </c>
      <c r="E38" s="42">
        <f>D38/C38-1</f>
        <v>0.583333333333333</v>
      </c>
      <c r="F38" s="45">
        <f>D38/SUM($D$33:$D$39)</f>
        <v>0.0538243626062323</v>
      </c>
      <c r="G38" s="91" t="str">
        <f>IF(RANK(D38,$D$33:$D$39)&lt;=5,"Yes","")</f>
        <v/>
      </c>
    </row>
    <row r="39">
      <c r="B39" s="39" t="inlineStr">
        <is>
          <t>Mani-pedi tools</t>
        </is>
      </c>
      <c r="C39" s="87" t="n">
        <v>9</v>
      </c>
      <c r="D39" s="87" t="n">
        <v>14</v>
      </c>
      <c r="E39" s="42">
        <f>D39/C39-1</f>
        <v>0.555555555555556</v>
      </c>
      <c r="F39" s="45">
        <f>D39/SUM($D$33:$D$39)</f>
        <v>0.0396600566572238</v>
      </c>
      <c r="G39" s="91" t="str">
        <f>IF(RANK(D39,$D$33:$D$39)&lt;=5,"Yes","")</f>
        <v/>
      </c>
    </row>
    <row r="40">
      <c r="B40" s="21" t="inlineStr">
        <is>
          <t>Top 5 items' share of reports</t>
        </is>
      </c>
      <c r="F40" s="85">
        <f>SUMIFS(F33:F39,G33:G39,"Yes")</f>
        <v>0.906515580736544</v>
      </c>
    </row>
    <row r="42">
      <c r="B42" s="8" t="inlineStr">
        <is>
          <t>Complaints by reason, Week 42</t>
        </is>
      </c>
    </row>
    <row r="43" ht="30" customHeight="1">
      <c r="B43" s="25" t="inlineStr">
        <is>
          <t>Reason</t>
        </is>
      </c>
      <c r="C43" s="26" t="inlineStr">
        <is>
          <t>Complaints</t>
        </is>
      </c>
      <c r="D43" s="26" t="inlineStr">
        <is>
          <t>Share</t>
        </is>
      </c>
    </row>
    <row r="44">
      <c r="B44" s="39" t="inlineStr">
        <is>
          <t>Service quality</t>
        </is>
      </c>
      <c r="C44" s="87" t="n">
        <v>236</v>
      </c>
      <c r="D44" s="45">
        <f>C44/SUM($C$44:$C$49)</f>
        <v>0.33810888252149</v>
      </c>
    </row>
    <row r="45">
      <c r="B45" s="39" t="inlineStr">
        <is>
          <t>Late arrival</t>
        </is>
      </c>
      <c r="C45" s="87" t="n">
        <v>162</v>
      </c>
      <c r="D45" s="45">
        <f>C45/SUM($C$44:$C$49)</f>
        <v>0.232091690544413</v>
      </c>
    </row>
    <row r="46">
      <c r="B46" s="39" t="inlineStr">
        <is>
          <t>Product &amp; hygiene</t>
        </is>
      </c>
      <c r="C46" s="87" t="n">
        <v>118</v>
      </c>
      <c r="D46" s="45">
        <f>C46/SUM($C$44:$C$49)</f>
        <v>0.169054441260745</v>
      </c>
    </row>
    <row r="47">
      <c r="B47" s="39" t="inlineStr">
        <is>
          <t>Pricing &amp; billing</t>
        </is>
      </c>
      <c r="C47" s="87" t="n">
        <v>71</v>
      </c>
      <c r="D47" s="45">
        <f>C47/SUM($C$44:$C$49)</f>
        <v>0.101719197707736</v>
      </c>
    </row>
    <row r="48">
      <c r="B48" s="39" t="inlineStr">
        <is>
          <t>Partner behaviour</t>
        </is>
      </c>
      <c r="C48" s="87" t="n">
        <v>64</v>
      </c>
      <c r="D48" s="45">
        <f>C48/SUM($C$44:$C$49)</f>
        <v>0.0916905444126075</v>
      </c>
    </row>
    <row r="49">
      <c r="B49" s="39" t="inlineStr">
        <is>
          <t>Damage &amp; other</t>
        </is>
      </c>
      <c r="C49" s="87" t="n">
        <v>47</v>
      </c>
      <c r="D49" s="45">
        <f>C49/SUM($C$44:$C$49)</f>
        <v>0.0673352435530086</v>
      </c>
    </row>
  </sheetData>
  <conditionalFormatting sqref="I5:I12">
    <cfRule type="colorScale" priority="1">
      <colorScale>
        <cfvo type="num" val="0"/>
        <cfvo type="max"/>
        <color rgb="00FFFFFF"/>
        <color rgb="00E66A63"/>
      </colorScale>
    </cfRule>
  </conditionalFormatting>
  <conditionalFormatting sqref="J17:J28">
    <cfRule type="expression" priority="2" dxfId="6" stopIfTrue="1">
      <formula>J17&lt;=t_cpk</formula>
    </cfRule>
    <cfRule type="expression" priority="3" dxfId="7" stopIfTrue="1">
      <formula>J17&lt;=t_cpk*(1+amber_band)</formula>
    </cfRule>
    <cfRule type="expression" priority="4" dxfId="8">
      <formula>TRUE</formula>
    </cfRule>
  </conditionalFormatting>
  <conditionalFormatting sqref="K17:K28">
    <cfRule type="expression" priority="5" dxfId="6" stopIfTrue="1">
      <formula>K17&lt;=t_kit</formula>
    </cfRule>
    <cfRule type="expression" priority="6" dxfId="7" stopIfTrue="1">
      <formula>K17&lt;=t_kit*(1+amber_band)</formula>
    </cfRule>
    <cfRule type="expression" priority="7" dxfId="8">
      <formula>TRUE</formula>
    </cfRule>
  </conditionalFormatting>
  <conditionalFormatting sqref="L17:L28">
    <cfRule type="expression" priority="8" dxfId="6" stopIfTrue="1">
      <formula>L17&lt;=t_pc</formula>
    </cfRule>
    <cfRule type="expression" priority="9" dxfId="7" stopIfTrue="1">
      <formula>L17&lt;=t_pc*(1+amber_band)</formula>
    </cfRule>
    <cfRule type="expression" priority="10" dxfId="8">
      <formula>TRUE</formula>
    </cfRule>
  </conditionalFormatting>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EB6834"/>
    <outlinePr summaryBelow="1" summaryRight="1"/>
    <pageSetUpPr fitToPage="1"/>
  </sheetPr>
  <dimension ref="B1:M34"/>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8" customWidth="1" min="2" max="2"/>
    <col width="46" customWidth="1" min="3" max="3"/>
    <col width="16" customWidth="1" min="4" max="4"/>
    <col width="22" customWidth="1" min="5" max="5"/>
    <col width="10" customWidth="1" min="6" max="6"/>
    <col width="10" customWidth="1" min="7" max="7"/>
    <col width="12" customWidth="1" min="8" max="8"/>
    <col width="11" customWidth="1" min="9" max="9"/>
    <col width="9" customWidth="1" min="10" max="10"/>
    <col width="18" customWidth="1" min="11" max="11"/>
    <col width="40" customWidth="1" min="12" max="12"/>
    <col width="34" customWidth="1" min="13" max="13"/>
  </cols>
  <sheetData>
    <row r="1" ht="26" customHeight="1">
      <c r="B1" s="20" t="inlineStr">
        <is>
          <t>Action tracker · five managers</t>
        </is>
      </c>
    </row>
    <row r="2">
      <c r="B2" s="19" t="inlineStr">
        <is>
          <t>One owner and one date per action. Days late and flags are formulas. Yellow cells are inputs.</t>
        </is>
      </c>
    </row>
    <row r="3">
      <c r="B3" s="21" t="inlineStr">
        <is>
          <t>Report date</t>
        </is>
      </c>
      <c r="C3" s="92" t="n">
        <v>46314</v>
      </c>
    </row>
    <row r="5" ht="30" customHeight="1">
      <c r="B5" s="25" t="inlineStr">
        <is>
          <t>ID</t>
        </is>
      </c>
      <c r="C5" s="26" t="inlineStr">
        <is>
          <t>Action</t>
        </is>
      </c>
      <c r="D5" s="26" t="inlineStr">
        <is>
          <t>Owner</t>
        </is>
      </c>
      <c r="E5" s="26" t="inlineStr">
        <is>
          <t>Linked KPI</t>
        </is>
      </c>
      <c r="F5" s="26" t="inlineStr">
        <is>
          <t>Raised</t>
        </is>
      </c>
      <c r="G5" s="26" t="inlineStr">
        <is>
          <t>Due</t>
        </is>
      </c>
      <c r="H5" s="26" t="inlineStr">
        <is>
          <t>Status</t>
        </is>
      </c>
      <c r="I5" s="26" t="inlineStr">
        <is>
          <t>Closed on</t>
        </is>
      </c>
      <c r="J5" s="26" t="inlineStr">
        <is>
          <t>Days late</t>
        </is>
      </c>
      <c r="K5" s="26" t="inlineStr">
        <is>
          <t>Flag</t>
        </is>
      </c>
      <c r="L5" s="26" t="inlineStr">
        <is>
          <t>Last update</t>
        </is>
      </c>
      <c r="M5" s="26" t="inlineStr">
        <is>
          <t>Next step</t>
        </is>
      </c>
    </row>
    <row r="6" ht="28" customHeight="1">
      <c r="B6" s="39" t="inlineStr">
        <is>
          <t>A-101</t>
        </is>
      </c>
      <c r="C6" s="93" t="inlineStr">
        <is>
          <t>Refill top 5 kit items at Gurugram and Noida hubs</t>
        </is>
      </c>
      <c r="D6" s="94" t="inlineStr">
        <is>
          <t>Inventory</t>
        </is>
      </c>
      <c r="E6" s="39" t="inlineStr">
        <is>
          <t>Kit stock-out</t>
        </is>
      </c>
      <c r="F6" s="95" t="n">
        <v>46307</v>
      </c>
      <c r="G6" s="96" t="n">
        <v>46311</v>
      </c>
      <c r="H6" s="94" t="inlineStr">
        <is>
          <t>In progress</t>
        </is>
      </c>
      <c r="I6" s="96" t="n"/>
      <c r="J6" s="97">
        <f>IF(H6="Done",MAX(0,I6-G6),MAX(0,report_date-G6))</f>
        <v>3</v>
      </c>
      <c r="K6" s="37" t="str">
        <f>IF(H6="Done",IF(I6&lt;=G6,"Done on time","Done late"),IF(report_date&gt;G6,"Overdue",IF(ISNUMBER(SEARCH("VP",L6)),"Needs VP decision",IF(G6-report_date&lt;=2,"Due soon","On track"))))</f>
        <v>Overdue</v>
      </c>
      <c r="L6" s="98" t="inlineStr">
        <is>
          <t>3 of 5 items refilled; wax batch on hold for QC</t>
        </is>
      </c>
      <c r="M6" s="98" t="inlineStr">
        <is>
          <t>Clear wax QC Tue, refill by Wed</t>
        </is>
      </c>
    </row>
    <row r="7" ht="28" customHeight="1">
      <c r="B7" s="39" t="inlineStr">
        <is>
          <t>A-102</t>
        </is>
      </c>
      <c r="C7" s="93" t="inlineStr">
        <is>
          <t>Retrain 41 flagged waxing partners, GGN-2 and GGN-4</t>
        </is>
      </c>
      <c r="D7" s="94" t="inlineStr">
        <is>
          <t>Training &amp; QA</t>
        </is>
      </c>
      <c r="E7" s="39" t="inlineStr">
        <is>
          <t>Complaints / 1,000</t>
        </is>
      </c>
      <c r="F7" s="95" t="n">
        <v>46309</v>
      </c>
      <c r="G7" s="96" t="n">
        <v>46317</v>
      </c>
      <c r="H7" s="94" t="inlineStr">
        <is>
          <t>In progress</t>
        </is>
      </c>
      <c r="I7" s="96" t="n"/>
      <c r="J7" s="97">
        <f>IF(H7="Done",MAX(0,I7-G7),MAX(0,report_date-G7))</f>
        <v>0</v>
      </c>
      <c r="K7" s="37" t="str">
        <f>IF(H7="Done",IF(I7&lt;=G7,"Done on time","Done late"),IF(report_date&gt;G7,"Overdue",IF(ISNUMBER(SEARCH("VP",L7)),"Needs VP decision",IF(G7-report_date&lt;=2,"Due soon","On track"))))</f>
        <v>On track</v>
      </c>
      <c r="L7" s="98" t="inlineStr">
        <is>
          <t>18 of 41 retrained</t>
        </is>
      </c>
      <c r="M7" s="98" t="inlineStr">
        <is>
          <t>Two more batches Wed and Thu</t>
        </is>
      </c>
    </row>
    <row r="8" ht="28" customHeight="1">
      <c r="B8" s="39" t="inlineStr">
        <is>
          <t>A-103</t>
        </is>
      </c>
      <c r="C8" s="93" t="inlineStr">
        <is>
          <t>QC check on wax batch #W-2291 used in Gurugram</t>
        </is>
      </c>
      <c r="D8" s="94" t="inlineStr">
        <is>
          <t>Inventory</t>
        </is>
      </c>
      <c r="E8" s="39" t="inlineStr">
        <is>
          <t>Complaints / 1,000</t>
        </is>
      </c>
      <c r="F8" s="95" t="n">
        <v>46310</v>
      </c>
      <c r="G8" s="96" t="n">
        <v>46315</v>
      </c>
      <c r="H8" s="94" t="inlineStr">
        <is>
          <t>In progress</t>
        </is>
      </c>
      <c r="I8" s="96" t="n"/>
      <c r="J8" s="97">
        <f>IF(H8="Done",MAX(0,I8-G8),MAX(0,report_date-G8))</f>
        <v>0</v>
      </c>
      <c r="K8" s="37" t="str">
        <f>IF(H8="Done",IF(I8&lt;=G8,"Done on time","Done late"),IF(report_date&gt;G8,"Overdue",IF(ISNUMBER(SEARCH("VP",L8)),"Needs VP decision",IF(G8-report_date&lt;=2,"Due soon","On track"))))</f>
        <v>Due soon</v>
      </c>
      <c r="L8" s="98" t="inlineStr">
        <is>
          <t>Samples sent to vendor lab</t>
        </is>
      </c>
      <c r="M8" s="98" t="inlineStr">
        <is>
          <t>Lab result Tue</t>
        </is>
      </c>
    </row>
    <row r="9" ht="28" customHeight="1">
      <c r="B9" s="39" t="inlineStr">
        <is>
          <t>A-104</t>
        </is>
      </c>
      <c r="C9" s="93" t="inlineStr">
        <is>
          <t>Weekend-evening incentive pilot: MUM-2, MUM-4, BLR-1</t>
        </is>
      </c>
      <c r="D9" s="94" t="inlineStr">
        <is>
          <t>City Ops</t>
        </is>
      </c>
      <c r="E9" s="39" t="inlineStr">
        <is>
          <t>Fill rate</t>
        </is>
      </c>
      <c r="F9" s="95" t="n">
        <v>46310</v>
      </c>
      <c r="G9" s="96" t="n">
        <v>46318</v>
      </c>
      <c r="H9" s="94" t="inlineStr">
        <is>
          <t>Not started</t>
        </is>
      </c>
      <c r="I9" s="96" t="n"/>
      <c r="J9" s="97">
        <f>IF(H9="Done",MAX(0,I9-G9),MAX(0,report_date-G9))</f>
        <v>0</v>
      </c>
      <c r="K9" s="37" t="str">
        <f>IF(H9="Done",IF(I9&lt;=G9,"Done on time","Done late"),IF(report_date&gt;G9,"Overdue",IF(ISNUMBER(SEARCH("VP",L9)),"Needs VP decision",IF(G9-report_date&lt;=2,"Due soon","On track"))))</f>
        <v>Needs VP decision</v>
      </c>
      <c r="L9" s="98" t="inlineStr">
        <is>
          <t>Waiting for VP budget sign-off</t>
        </is>
      </c>
      <c r="M9" s="98" t="inlineStr">
        <is>
          <t>Decision in Mon review</t>
        </is>
      </c>
    </row>
    <row r="10" ht="28" customHeight="1">
      <c r="B10" s="39" t="inlineStr">
        <is>
          <t>A-105</t>
        </is>
      </c>
      <c r="C10" s="93" t="inlineStr">
        <is>
          <t>Root-cause late arrivals beyond a 3 km dispatch radius</t>
        </is>
      </c>
      <c r="D10" s="94" t="inlineStr">
        <is>
          <t>City Ops</t>
        </is>
      </c>
      <c r="E10" s="39" t="inlineStr">
        <is>
          <t>On-time arrival</t>
        </is>
      </c>
      <c r="F10" s="95" t="n">
        <v>46308</v>
      </c>
      <c r="G10" s="96" t="n">
        <v>46317</v>
      </c>
      <c r="H10" s="94" t="inlineStr">
        <is>
          <t>In progress</t>
        </is>
      </c>
      <c r="I10" s="96" t="n"/>
      <c r="J10" s="97">
        <f>IF(H10="Done",MAX(0,I10-G10),MAX(0,report_date-G10))</f>
        <v>0</v>
      </c>
      <c r="K10" s="37" t="str">
        <f>IF(H10="Done",IF(I10&lt;=G10,"Done on time","Done late"),IF(report_date&gt;G10,"Overdue",IF(ISNUMBER(SEARCH("VP",L10)),"Needs VP decision",IF(G10-report_date&lt;=2,"Due soon","On track"))))</f>
        <v>On track</v>
      </c>
      <c r="L10" s="98" t="inlineStr">
        <is>
          <t>Pulled 2 weeks of dispatch logs</t>
        </is>
      </c>
      <c r="M10" s="98" t="inlineStr">
        <is>
          <t>Share findings Thu</t>
        </is>
      </c>
    </row>
    <row r="11" ht="28" customHeight="1">
      <c r="B11" s="39" t="inlineStr">
        <is>
          <t>A-106</t>
        </is>
      </c>
      <c r="C11" s="93" t="inlineStr">
        <is>
          <t>Re-activate 420 partners with no job in 14 days</t>
        </is>
      </c>
      <c r="D11" s="94" t="inlineStr">
        <is>
          <t>Supply</t>
        </is>
      </c>
      <c r="E11" s="39" t="inlineStr">
        <is>
          <t>Active partners</t>
        </is>
      </c>
      <c r="F11" s="95" t="n">
        <v>46307</v>
      </c>
      <c r="G11" s="96" t="n">
        <v>46319</v>
      </c>
      <c r="H11" s="94" t="inlineStr">
        <is>
          <t>In progress</t>
        </is>
      </c>
      <c r="I11" s="96" t="n"/>
      <c r="J11" s="97">
        <f>IF(H11="Done",MAX(0,I11-G11),MAX(0,report_date-G11))</f>
        <v>0</v>
      </c>
      <c r="K11" s="37" t="str">
        <f>IF(H11="Done",IF(I11&lt;=G11,"Done on time","Done late"),IF(report_date&gt;G11,"Overdue",IF(ISNUMBER(SEARCH("VP",L11)),"Needs VP decision",IF(G11-report_date&lt;=2,"Due soon","On track"))))</f>
        <v>On track</v>
      </c>
      <c r="L11" s="98" t="inlineStr">
        <is>
          <t>240 called, 96 back on app</t>
        </is>
      </c>
      <c r="M11" s="98" t="inlineStr">
        <is>
          <t>Finish calls Fri</t>
        </is>
      </c>
    </row>
    <row r="12" ht="28" customHeight="1">
      <c r="B12" s="39" t="inlineStr">
        <is>
          <t>A-107</t>
        </is>
      </c>
      <c r="C12" s="93" t="inlineStr">
        <is>
          <t>Week-4 drop-off survey, Aug joining cohort</t>
        </is>
      </c>
      <c r="D12" s="94" t="inlineStr">
        <is>
          <t>Supply</t>
        </is>
      </c>
      <c r="E12" s="39" t="inlineStr">
        <is>
          <t>90-day retention</t>
        </is>
      </c>
      <c r="F12" s="95" t="n">
        <v>46303</v>
      </c>
      <c r="G12" s="96" t="n">
        <v>46312</v>
      </c>
      <c r="H12" s="94" t="inlineStr">
        <is>
          <t>In progress</t>
        </is>
      </c>
      <c r="I12" s="96" t="n"/>
      <c r="J12" s="97">
        <f>IF(H12="Done",MAX(0,I12-G12),MAX(0,report_date-G12))</f>
        <v>2</v>
      </c>
      <c r="K12" s="37" t="str">
        <f>IF(H12="Done",IF(I12&lt;=G12,"Done on time","Done late"),IF(report_date&gt;G12,"Overdue",IF(ISNUMBER(SEARCH("VP",L12)),"Needs VP decision",IF(G12-report_date&lt;=2,"Due soon","On track"))))</f>
        <v>Overdue</v>
      </c>
      <c r="L12" s="98" t="inlineStr">
        <is>
          <t>62 of 150 responses</t>
        </is>
      </c>
      <c r="M12" s="98" t="inlineStr">
        <is>
          <t>Close Tue, readout at review</t>
        </is>
      </c>
    </row>
    <row r="13" ht="28" customHeight="1">
      <c r="B13" s="39" t="inlineStr">
        <is>
          <t>A-108</t>
        </is>
      </c>
      <c r="C13" s="93" t="inlineStr">
        <is>
          <t>Add 2 Noida training batches for wedding season</t>
        </is>
      </c>
      <c r="D13" s="94" t="inlineStr">
        <is>
          <t>Training &amp; QA</t>
        </is>
      </c>
      <c r="E13" s="39" t="inlineStr">
        <is>
          <t>New partners certified</t>
        </is>
      </c>
      <c r="F13" s="95" t="n">
        <v>46307</v>
      </c>
      <c r="G13" s="96" t="n">
        <v>46321</v>
      </c>
      <c r="H13" s="94" t="inlineStr">
        <is>
          <t>In progress</t>
        </is>
      </c>
      <c r="I13" s="96" t="n"/>
      <c r="J13" s="97">
        <f>IF(H13="Done",MAX(0,I13-G13),MAX(0,report_date-G13))</f>
        <v>0</v>
      </c>
      <c r="K13" s="37" t="str">
        <f>IF(H13="Done",IF(I13&lt;=G13,"Done on time","Done late"),IF(report_date&gt;G13,"Overdue",IF(ISNUMBER(SEARCH("VP",L13)),"Needs VP decision",IF(G13-report_date&lt;=2,"Due soon","On track"))))</f>
        <v>On track</v>
      </c>
      <c r="L13" s="98" t="inlineStr">
        <is>
          <t>Trainers confirmed</t>
        </is>
      </c>
      <c r="M13" s="98" t="inlineStr">
        <is>
          <t>Batch 1 starts Mon 26</t>
        </is>
      </c>
    </row>
    <row r="14" ht="28" customHeight="1">
      <c r="B14" s="39" t="inlineStr">
        <is>
          <t>A-109</t>
        </is>
      </c>
      <c r="C14" s="93" t="inlineStr">
        <is>
          <t>Auto-escalate complaints open over 24 hours</t>
        </is>
      </c>
      <c r="D14" s="94" t="inlineStr">
        <is>
          <t>CX</t>
        </is>
      </c>
      <c r="E14" s="39" t="inlineStr">
        <is>
          <t>Complaints resolved &lt; 24h</t>
        </is>
      </c>
      <c r="F14" s="95" t="n">
        <v>46308</v>
      </c>
      <c r="G14" s="96" t="n">
        <v>46318</v>
      </c>
      <c r="H14" s="94" t="inlineStr">
        <is>
          <t>In progress</t>
        </is>
      </c>
      <c r="I14" s="96" t="n"/>
      <c r="J14" s="97">
        <f>IF(H14="Done",MAX(0,I14-G14),MAX(0,report_date-G14))</f>
        <v>0</v>
      </c>
      <c r="K14" s="37" t="str">
        <f>IF(H14="Done",IF(I14&lt;=G14,"Done on time","Done late"),IF(report_date&gt;G14,"Overdue",IF(ISNUMBER(SEARCH("VP",L14)),"Needs VP decision",IF(G14-report_date&lt;=2,"Due soon","On track"))))</f>
        <v>On track</v>
      </c>
      <c r="L14" s="98" t="inlineStr">
        <is>
          <t>Rule drafted with tech</t>
        </is>
      </c>
      <c r="M14" s="98" t="inlineStr">
        <is>
          <t>Go live Thu</t>
        </is>
      </c>
    </row>
    <row r="15" ht="28" customHeight="1">
      <c r="B15" s="39" t="inlineStr">
        <is>
          <t>A-110</t>
        </is>
      </c>
      <c r="C15" s="93" t="inlineStr">
        <is>
          <t>Audit refund approvals above ₹1,500</t>
        </is>
      </c>
      <c r="D15" s="94" t="inlineStr">
        <is>
          <t>CX</t>
        </is>
      </c>
      <c r="E15" s="39" t="inlineStr">
        <is>
          <t>Redo / refund rate</t>
        </is>
      </c>
      <c r="F15" s="95" t="n">
        <v>46301</v>
      </c>
      <c r="G15" s="96" t="n">
        <v>46310</v>
      </c>
      <c r="H15" s="94" t="inlineStr">
        <is>
          <t>In progress</t>
        </is>
      </c>
      <c r="I15" s="96" t="n"/>
      <c r="J15" s="97">
        <f>IF(H15="Done",MAX(0,I15-G15),MAX(0,report_date-G15))</f>
        <v>4</v>
      </c>
      <c r="K15" s="37" t="str">
        <f>IF(H15="Done",IF(I15&lt;=G15,"Done on time","Done late"),IF(report_date&gt;G15,"Overdue",IF(ISNUMBER(SEARCH("VP",L15)),"Needs VP decision",IF(G15-report_date&lt;=2,"Due soon","On track"))))</f>
        <v>Overdue</v>
      </c>
      <c r="L15" s="98" t="inlineStr">
        <is>
          <t>Data pulled; review pending</t>
        </is>
      </c>
      <c r="M15" s="98" t="inlineStr">
        <is>
          <t>Needs 1 hour with Finance</t>
        </is>
      </c>
    </row>
    <row r="16" ht="28" customHeight="1">
      <c r="B16" s="39" t="inlineStr">
        <is>
          <t>A-111</t>
        </is>
      </c>
      <c r="C16" s="93" t="inlineStr">
        <is>
          <t>Hub kit auto-reorder at 5 days of stock</t>
        </is>
      </c>
      <c r="D16" s="94" t="inlineStr">
        <is>
          <t>Inventory</t>
        </is>
      </c>
      <c r="E16" s="39" t="inlineStr">
        <is>
          <t>Kit stock-out</t>
        </is>
      </c>
      <c r="F16" s="95" t="n">
        <v>46310</v>
      </c>
      <c r="G16" s="96" t="n">
        <v>46325</v>
      </c>
      <c r="H16" s="94" t="inlineStr">
        <is>
          <t>Not started</t>
        </is>
      </c>
      <c r="I16" s="96" t="n"/>
      <c r="J16" s="97">
        <f>IF(H16="Done",MAX(0,I16-G16),MAX(0,report_date-G16))</f>
        <v>0</v>
      </c>
      <c r="K16" s="37" t="str">
        <f>IF(H16="Done",IF(I16&lt;=G16,"Done on time","Done late"),IF(report_date&gt;G16,"Overdue",IF(ISNUMBER(SEARCH("VP",L16)),"Needs VP decision",IF(G16-report_date&lt;=2,"Due soon","On track"))))</f>
        <v>Needs VP decision</v>
      </c>
      <c r="L16" s="98" t="inlineStr">
        <is>
          <t>Needs VP approval for buffer stock</t>
        </is>
      </c>
      <c r="M16" s="98" t="inlineStr">
        <is>
          <t>Decision in Mon review</t>
        </is>
      </c>
    </row>
    <row r="17" ht="28" customHeight="1">
      <c r="B17" s="39" t="inlineStr">
        <is>
          <t>A-112</t>
        </is>
      </c>
      <c r="C17" s="93" t="inlineStr">
        <is>
          <t>Wedding-season staffing plan, Nov to Feb</t>
        </is>
      </c>
      <c r="D17" s="94" t="inlineStr">
        <is>
          <t>City Ops</t>
        </is>
      </c>
      <c r="E17" s="39" t="inlineStr">
        <is>
          <t>Fill rate</t>
        </is>
      </c>
      <c r="F17" s="95" t="n">
        <v>46307</v>
      </c>
      <c r="G17" s="96" t="n">
        <v>46323</v>
      </c>
      <c r="H17" s="94" t="inlineStr">
        <is>
          <t>In progress</t>
        </is>
      </c>
      <c r="I17" s="96" t="n"/>
      <c r="J17" s="97">
        <f>IF(H17="Done",MAX(0,I17-G17),MAX(0,report_date-G17))</f>
        <v>0</v>
      </c>
      <c r="K17" s="37" t="str">
        <f>IF(H17="Done",IF(I17&lt;=G17,"Done on time","Done late"),IF(report_date&gt;G17,"Overdue",IF(ISNUMBER(SEARCH("VP",L17)),"Needs VP decision",IF(G17-report_date&lt;=2,"Due soon","On track"))))</f>
        <v>On track</v>
      </c>
      <c r="L17" s="98" t="inlineStr">
        <is>
          <t>Demand forecast done</t>
        </is>
      </c>
      <c r="M17" s="98" t="inlineStr">
        <is>
          <t>Supply gap by city Wed</t>
        </is>
      </c>
    </row>
    <row r="18" ht="28" customHeight="1">
      <c r="B18" s="39" t="inlineStr">
        <is>
          <t>A-113</t>
        </is>
      </c>
      <c r="C18" s="93" t="inlineStr">
        <is>
          <t>One definition for 'fill rate' across all 5 teams</t>
        </is>
      </c>
      <c r="D18" s="94" t="inlineStr">
        <is>
          <t>Founder's Office</t>
        </is>
      </c>
      <c r="E18" s="39" t="inlineStr">
        <is>
          <t>Data quality</t>
        </is>
      </c>
      <c r="F18" s="95" t="n">
        <v>46307</v>
      </c>
      <c r="G18" s="96" t="n">
        <v>46314</v>
      </c>
      <c r="H18" s="94" t="inlineStr">
        <is>
          <t>Done</t>
        </is>
      </c>
      <c r="I18" s="96" t="n">
        <v>46313</v>
      </c>
      <c r="J18" s="97">
        <f>IF(H18="Done",MAX(0,I18-G18),MAX(0,report_date-G18))</f>
        <v>0</v>
      </c>
      <c r="K18" s="37" t="str">
        <f>IF(H18="Done",IF(I18&lt;=G18,"Done on time","Done late"),IF(report_date&gt;G18,"Overdue",IF(ISNUMBER(SEARCH("VP",L18)),"Needs VP decision",IF(G18-report_date&lt;=2,"Due soon","On track"))))</f>
        <v>Done on time</v>
      </c>
      <c r="L18" s="98" t="inlineStr">
        <is>
          <t>Metric dictionary v1 shared and used in the MIS</t>
        </is>
      </c>
      <c r="M18" s="98" t="inlineStr">
        <is>
          <t>Sign-off by 5 managers and the VP (decision 3)</t>
        </is>
      </c>
    </row>
    <row r="19" ht="28" customHeight="1">
      <c r="B19" s="39" t="inlineStr">
        <is>
          <t>A-114</t>
        </is>
      </c>
      <c r="C19" s="93" t="inlineStr">
        <is>
          <t>Cap Mumbai Saturday-evening slots at capacity</t>
        </is>
      </c>
      <c r="D19" s="94" t="inlineStr">
        <is>
          <t>City Ops</t>
        </is>
      </c>
      <c r="E19" s="39" t="inlineStr">
        <is>
          <t>Fill rate</t>
        </is>
      </c>
      <c r="F19" s="95" t="n">
        <v>46300</v>
      </c>
      <c r="G19" s="96" t="n">
        <v>46309</v>
      </c>
      <c r="H19" s="94" t="inlineStr">
        <is>
          <t>Done</t>
        </is>
      </c>
      <c r="I19" s="96" t="n">
        <v>46308</v>
      </c>
      <c r="J19" s="97">
        <f>IF(H19="Done",MAX(0,I19-G19),MAX(0,report_date-G19))</f>
        <v>0</v>
      </c>
      <c r="K19" s="37" t="str">
        <f>IF(H19="Done",IF(I19&lt;=G19,"Done on time","Done late"),IF(report_date&gt;G19,"Overdue",IF(ISNUMBER(SEARCH("VP",L19)),"Needs VP decision",IF(G19-report_date&lt;=2,"Due soon","On track"))))</f>
        <v>Done on time</v>
      </c>
      <c r="L19" s="98" t="inlineStr">
        <is>
          <t>Live since 13 Oct</t>
        </is>
      </c>
      <c r="M19" s="98" t="inlineStr">
        <is>
          <t>Review impact next week</t>
        </is>
      </c>
    </row>
    <row r="20" ht="28" customHeight="1">
      <c r="B20" s="39" t="inlineStr">
        <is>
          <t>A-115</t>
        </is>
      </c>
      <c r="C20" s="93" t="inlineStr">
        <is>
          <t>Hygiene audit of 30 random partners</t>
        </is>
      </c>
      <c r="D20" s="94" t="inlineStr">
        <is>
          <t>Training &amp; QA</t>
        </is>
      </c>
      <c r="E20" s="39" t="inlineStr">
        <is>
          <t>Average rating</t>
        </is>
      </c>
      <c r="F20" s="95" t="n">
        <v>46296</v>
      </c>
      <c r="G20" s="96" t="n">
        <v>46307</v>
      </c>
      <c r="H20" s="94" t="inlineStr">
        <is>
          <t>Done</t>
        </is>
      </c>
      <c r="I20" s="96" t="n">
        <v>46309</v>
      </c>
      <c r="J20" s="97">
        <f>IF(H20="Done",MAX(0,I20-G20),MAX(0,report_date-G20))</f>
        <v>2</v>
      </c>
      <c r="K20" s="37" t="str">
        <f>IF(H20="Done",IF(I20&lt;=G20,"Done on time","Done late"),IF(report_date&gt;G20,"Overdue",IF(ISNUMBER(SEARCH("VP",L20)),"Needs VP decision",IF(G20-report_date&lt;=2,"Due soon","On track"))))</f>
        <v>Done late</v>
      </c>
      <c r="L20" s="98" t="inlineStr">
        <is>
          <t>28 of 30 passed; 2 re-briefed</t>
        </is>
      </c>
      <c r="M20" s="98" t="inlineStr">
        <is>
          <t>—</t>
        </is>
      </c>
    </row>
    <row r="21" ht="28" customHeight="1">
      <c r="B21" s="39" t="inlineStr">
        <is>
          <t>A-116</t>
        </is>
      </c>
      <c r="C21" s="93" t="inlineStr">
        <is>
          <t>Automate the MIS refresh from the ops app</t>
        </is>
      </c>
      <c r="D21" s="94" t="inlineStr">
        <is>
          <t>Founder's Office</t>
        </is>
      </c>
      <c r="E21" s="39" t="inlineStr">
        <is>
          <t>Data quality</t>
        </is>
      </c>
      <c r="F21" s="95" t="n">
        <v>46307</v>
      </c>
      <c r="G21" s="96" t="n">
        <v>46332</v>
      </c>
      <c r="H21" s="94" t="inlineStr">
        <is>
          <t>Not started</t>
        </is>
      </c>
      <c r="I21" s="96" t="n"/>
      <c r="J21" s="97">
        <f>IF(H21="Done",MAX(0,I21-G21),MAX(0,report_date-G21))</f>
        <v>0</v>
      </c>
      <c r="K21" s="37" t="str">
        <f>IF(H21="Done",IF(I21&lt;=G21,"Done on time","Done late"),IF(report_date&gt;G21,"Overdue",IF(ISNUMBER(SEARCH("VP",L21)),"Needs VP decision",IF(G21-report_date&lt;=2,"Due soon","On track"))))</f>
        <v>On track</v>
      </c>
      <c r="L21" s="98" t="inlineStr">
        <is>
          <t>Scoping with tech</t>
        </is>
      </c>
      <c r="M21" s="98" t="inlineStr">
        <is>
          <t>Plan by 26 Oct</t>
        </is>
      </c>
    </row>
    <row r="24">
      <c r="B24" s="8" t="inlineStr">
        <is>
          <t>Manager summary</t>
        </is>
      </c>
    </row>
    <row r="25" ht="30" customHeight="1">
      <c r="B25" s="25" t="inlineStr"/>
      <c r="C25" s="26" t="inlineStr">
        <is>
          <t>Owner</t>
        </is>
      </c>
      <c r="D25" s="26" t="inlineStr">
        <is>
          <t>Open</t>
        </is>
      </c>
      <c r="E25" s="26" t="inlineStr">
        <is>
          <t>Overdue</t>
        </is>
      </c>
      <c r="F25" s="26" t="inlineStr">
        <is>
          <t>Needs VP</t>
        </is>
      </c>
      <c r="G25" s="26" t="inlineStr">
        <is>
          <t>Closed this week</t>
        </is>
      </c>
      <c r="H25" s="26" t="inlineStr">
        <is>
          <t>Closed on time, last 4 wks</t>
        </is>
      </c>
      <c r="I25" s="26" t="inlineStr">
        <is>
          <t>Closed, last 4 wks</t>
        </is>
      </c>
      <c r="J25" s="26" t="inlineStr">
        <is>
          <t>On-time closure</t>
        </is>
      </c>
    </row>
    <row r="26">
      <c r="C26" s="32" t="inlineStr">
        <is>
          <t>City Ops</t>
        </is>
      </c>
      <c r="D26" s="99">
        <f>COUNTIFS($D$6:$D$21,C26,$H$6:$H$21,"&lt;&gt;Done")</f>
        <v>3</v>
      </c>
      <c r="E26" s="97">
        <f>COUNTIFS($D$6:$D$21,C26,$K$6:$K$21,"Overdue")</f>
        <v>0</v>
      </c>
      <c r="F26" s="99">
        <f>COUNTIFS($D$6:$D$21,C26,$K$6:$K$21,"Needs VP decision")</f>
        <v>1</v>
      </c>
      <c r="G26" s="99">
        <f>COUNTIFS($D$6:$D$21,C26,$I$6:$I$21,"&gt;="&amp;(report_date-7))</f>
        <v>1</v>
      </c>
      <c r="H26" s="100" t="n">
        <v>9</v>
      </c>
      <c r="I26" s="100" t="n">
        <v>11</v>
      </c>
      <c r="J26" s="101">
        <f>H26/I26</f>
        <v>0.818181818181818</v>
      </c>
    </row>
    <row r="27">
      <c r="C27" s="32" t="inlineStr">
        <is>
          <t>Supply</t>
        </is>
      </c>
      <c r="D27" s="99">
        <f>COUNTIFS($D$6:$D$21,C27,$H$6:$H$21,"&lt;&gt;Done")</f>
        <v>2</v>
      </c>
      <c r="E27" s="97">
        <f>COUNTIFS($D$6:$D$21,C27,$K$6:$K$21,"Overdue")</f>
        <v>1</v>
      </c>
      <c r="F27" s="99">
        <f>COUNTIFS($D$6:$D$21,C27,$K$6:$K$21,"Needs VP decision")</f>
        <v>0</v>
      </c>
      <c r="G27" s="99">
        <f>COUNTIFS($D$6:$D$21,C27,$I$6:$I$21,"&gt;="&amp;(report_date-7))</f>
        <v>0</v>
      </c>
      <c r="H27" s="100" t="n">
        <v>7</v>
      </c>
      <c r="I27" s="100" t="n">
        <v>9</v>
      </c>
      <c r="J27" s="101">
        <f>H27/I27</f>
        <v>0.777777777777778</v>
      </c>
    </row>
    <row r="28">
      <c r="C28" s="32" t="inlineStr">
        <is>
          <t>Training &amp; QA</t>
        </is>
      </c>
      <c r="D28" s="99">
        <f>COUNTIFS($D$6:$D$21,C28,$H$6:$H$21,"&lt;&gt;Done")</f>
        <v>2</v>
      </c>
      <c r="E28" s="97">
        <f>COUNTIFS($D$6:$D$21,C28,$K$6:$K$21,"Overdue")</f>
        <v>0</v>
      </c>
      <c r="F28" s="99">
        <f>COUNTIFS($D$6:$D$21,C28,$K$6:$K$21,"Needs VP decision")</f>
        <v>0</v>
      </c>
      <c r="G28" s="99">
        <f>COUNTIFS($D$6:$D$21,C28,$I$6:$I$21,"&gt;="&amp;(report_date-7))</f>
        <v>1</v>
      </c>
      <c r="H28" s="100" t="n">
        <v>8</v>
      </c>
      <c r="I28" s="100" t="n">
        <v>9</v>
      </c>
      <c r="J28" s="101">
        <f>H28/I28</f>
        <v>0.888888888888889</v>
      </c>
    </row>
    <row r="29">
      <c r="C29" s="32" t="inlineStr">
        <is>
          <t>CX</t>
        </is>
      </c>
      <c r="D29" s="99">
        <f>COUNTIFS($D$6:$D$21,C29,$H$6:$H$21,"&lt;&gt;Done")</f>
        <v>2</v>
      </c>
      <c r="E29" s="97">
        <f>COUNTIFS($D$6:$D$21,C29,$K$6:$K$21,"Overdue")</f>
        <v>1</v>
      </c>
      <c r="F29" s="99">
        <f>COUNTIFS($D$6:$D$21,C29,$K$6:$K$21,"Needs VP decision")</f>
        <v>0</v>
      </c>
      <c r="G29" s="99">
        <f>COUNTIFS($D$6:$D$21,C29,$I$6:$I$21,"&gt;="&amp;(report_date-7))</f>
        <v>0</v>
      </c>
      <c r="H29" s="100" t="n">
        <v>6</v>
      </c>
      <c r="I29" s="100" t="n">
        <v>9</v>
      </c>
      <c r="J29" s="101">
        <f>H29/I29</f>
        <v>0.666666666666667</v>
      </c>
    </row>
    <row r="30">
      <c r="C30" s="32" t="inlineStr">
        <is>
          <t>Inventory</t>
        </is>
      </c>
      <c r="D30" s="99">
        <f>COUNTIFS($D$6:$D$21,C30,$H$6:$H$21,"&lt;&gt;Done")</f>
        <v>3</v>
      </c>
      <c r="E30" s="97">
        <f>COUNTIFS($D$6:$D$21,C30,$K$6:$K$21,"Overdue")</f>
        <v>1</v>
      </c>
      <c r="F30" s="99">
        <f>COUNTIFS($D$6:$D$21,C30,$K$6:$K$21,"Needs VP decision")</f>
        <v>1</v>
      </c>
      <c r="G30" s="99">
        <f>COUNTIFS($D$6:$D$21,C30,$I$6:$I$21,"&gt;="&amp;(report_date-7))</f>
        <v>0</v>
      </c>
      <c r="H30" s="100" t="n">
        <v>5</v>
      </c>
      <c r="I30" s="100" t="n">
        <v>8</v>
      </c>
      <c r="J30" s="101">
        <f>H30/I30</f>
        <v>0.625</v>
      </c>
    </row>
    <row r="31">
      <c r="C31" s="32" t="inlineStr">
        <is>
          <t>Founder's Office</t>
        </is>
      </c>
      <c r="D31" s="99">
        <f>COUNTIFS($D$6:$D$21,C31,$H$6:$H$21,"&lt;&gt;Done")</f>
        <v>1</v>
      </c>
      <c r="E31" s="97">
        <f>COUNTIFS($D$6:$D$21,C31,$K$6:$K$21,"Overdue")</f>
        <v>0</v>
      </c>
      <c r="F31" s="99">
        <f>COUNTIFS($D$6:$D$21,C31,$K$6:$K$21,"Needs VP decision")</f>
        <v>0</v>
      </c>
      <c r="G31" s="99">
        <f>COUNTIFS($D$6:$D$21,C31,$I$6:$I$21,"&gt;="&amp;(report_date-7))</f>
        <v>1</v>
      </c>
      <c r="H31" s="100" t="n">
        <v>6</v>
      </c>
      <c r="I31" s="100" t="n">
        <v>6</v>
      </c>
      <c r="J31" s="101">
        <f>H31/I31</f>
        <v>1</v>
      </c>
    </row>
    <row r="32">
      <c r="C32" s="21" t="inlineStr">
        <is>
          <t>Total</t>
        </is>
      </c>
      <c r="D32" s="102">
        <f>SUM(D26:D31)</f>
        <v>13</v>
      </c>
      <c r="E32" s="102">
        <f>SUM(E26:E31)</f>
        <v>3</v>
      </c>
      <c r="F32" s="102">
        <f>SUM(F26:F31)</f>
        <v>2</v>
      </c>
      <c r="G32" s="102">
        <f>SUM(G26:G31)</f>
        <v>3</v>
      </c>
    </row>
    <row r="34">
      <c r="B34" s="19" t="inlineStr">
        <is>
          <t>Escalation ladder: Day 1 private nudge → Day 2–3 offer help, clear the blocker → Day 5 raise in the weekly review with data → VP decision. The manager hears it before the VP does.</t>
        </is>
      </c>
    </row>
  </sheetData>
  <conditionalFormatting sqref="K6:K21">
    <cfRule type="expression" priority="1" dxfId="2">
      <formula>K6="Overdue"</formula>
    </cfRule>
    <cfRule type="expression" priority="2" dxfId="1">
      <formula>K6="Due soon"</formula>
    </cfRule>
    <cfRule type="expression" priority="3" dxfId="1">
      <formula>K6="Needs VP decision"</formula>
    </cfRule>
    <cfRule type="expression" priority="4" dxfId="0">
      <formula>K6="On track"</formula>
    </cfRule>
    <cfRule type="expression" priority="5" dxfId="3">
      <formula>K6="Done on time"</formula>
    </cfRule>
    <cfRule type="expression" priority="6" dxfId="9">
      <formula>K6="Done late"</formula>
    </cfRule>
  </conditionalFormatting>
  <conditionalFormatting sqref="E26:E31">
    <cfRule type="expression" priority="7" dxfId="2">
      <formula>E26&gt;0</formula>
    </cfRule>
  </conditionalFormatting>
  <dataValidations count="2">
    <dataValidation sqref="D6:D41" showDropDown="0" showInputMessage="0" showErrorMessage="0" allowBlank="0" type="list">
      <formula1>=Lists!$C$2:$C$7</formula1>
    </dataValidation>
    <dataValidation sqref="H6:H41" showDropDown="0" showInputMessage="0" showErrorMessage="0" allowBlank="0" type="list">
      <formula1>=Lists!$D$2:$D$5</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B6834"/>
    <outlinePr summaryBelow="1" summaryRight="1"/>
    <pageSetUpPr fitToPage="1"/>
  </sheetPr>
  <dimension ref="B1:H28"/>
  <sheetViews>
    <sheetView showGridLines="0" workbookViewId="0">
      <selection activeCell="A1" sqref="A1"/>
    </sheetView>
  </sheetViews>
  <sheetFormatPr baseColWidth="8" defaultRowHeight="15"/>
  <cols>
    <col width="2" customWidth="1" min="1" max="1"/>
    <col width="7" customWidth="1" min="2" max="2"/>
    <col width="30" customWidth="1" min="3" max="3"/>
    <col width="52" customWidth="1" min="4" max="4"/>
    <col width="10" customWidth="1" min="5" max="5"/>
    <col width="70" customWidth="1" min="6" max="6"/>
    <col width="14" customWidth="1" min="7" max="7"/>
    <col width="12" customWidth="1" min="8" max="8"/>
  </cols>
  <sheetData>
    <row r="1" ht="26" customHeight="1">
      <c r="B1" s="20" t="inlineStr">
        <is>
          <t>Data checks · run before the MIS goes out</t>
        </is>
      </c>
    </row>
    <row r="2">
      <c r="B2" s="19" t="inlineStr">
        <is>
          <t>Checks 1–6 are live formulas on the Data and Raw Bookings tabs; checks 7 and 8 are documented notes. Two problems were caught and fixed this week.</t>
        </is>
      </c>
    </row>
    <row r="4" ht="30" customHeight="1">
      <c r="B4" s="25" t="inlineStr">
        <is>
          <t>#</t>
        </is>
      </c>
      <c r="C4" s="26" t="inlineStr">
        <is>
          <t>Check</t>
        </is>
      </c>
      <c r="D4" s="26" t="inlineStr">
        <is>
          <t>What it tests</t>
        </is>
      </c>
      <c r="E4" s="26" t="inlineStr">
        <is>
          <t>Result</t>
        </is>
      </c>
      <c r="F4" s="26" t="inlineStr">
        <is>
          <t>Detail</t>
        </is>
      </c>
    </row>
    <row r="5" ht="20" customHeight="1">
      <c r="B5" s="99" t="n">
        <v>1</v>
      </c>
      <c r="C5" s="32" t="inlineStr">
        <is>
          <t>Funnel order holds</t>
        </is>
      </c>
      <c r="D5" s="29" t="inlineStr">
        <is>
          <t>Requests ≥ assigned ≥ completed on every row</t>
        </is>
      </c>
      <c r="E5" s="37" t="str">
        <f>IF(SUMPRODUCT(--(d_asg&gt;d_req))+SUMPRODUCT(--(d_comp&gt;d_asg))=0,"PASS","FAIL")</f>
        <v>PASS</v>
      </c>
      <c r="F5" s="39" t="str">
        <f>SUMPRODUCT(--(d_asg&gt;d_req))+SUMPRODUCT(--(d_comp&gt;d_asg))&amp;" rows break the order, of "&amp;ROWS(d_req)</f>
        <v>0 rows break the order, of 96</v>
      </c>
    </row>
    <row r="6" ht="20" customHeight="1">
      <c r="B6" s="99" t="n">
        <v>2</v>
      </c>
      <c r="C6" s="32" t="inlineStr">
        <is>
          <t>Cancellations reconcile</t>
        </is>
      </c>
      <c r="D6" s="29" t="inlineStr">
        <is>
          <t>Completed = assigned − customer cancels − partner cancels</t>
        </is>
      </c>
      <c r="E6" s="37" t="str">
        <f>IF(SUMPRODUCT(--(d_comp&lt;&gt;d_asg-d_cc-d_pc))=0,"PASS","FAIL")</f>
        <v>PASS</v>
      </c>
      <c r="F6" s="39" t="str">
        <f>SUMPRODUCT(--(d_comp&lt;&gt;d_asg-d_cc-d_pc))&amp;" rows do not reconcile"</f>
        <v>0 rows do not reconcile</v>
      </c>
    </row>
    <row r="7" ht="20" customHeight="1">
      <c r="B7" s="99" t="n">
        <v>3</v>
      </c>
      <c r="C7" s="32" t="inlineStr">
        <is>
          <t>No impossible counts</t>
        </is>
      </c>
      <c r="D7" s="29" t="inlineStr">
        <is>
          <t>On time ≤ completed, perfect ≤ on time, stock-outs ≤ active partners</t>
        </is>
      </c>
      <c r="E7" s="37" t="str">
        <f>IF(SUMPRODUCT(--(d_ot&gt;d_comp))+SUMPRODUCT(--(d_perf&gt;d_ot))+SUMPRODUCT(--(d_stock&gt;d_act))=0,"PASS","FAIL")</f>
        <v>PASS</v>
      </c>
      <c r="F7" s="39" t="str">
        <f>SUMPRODUCT(--(d_ot&gt;d_comp))+SUMPRODUCT(--(d_perf&gt;d_ot))+SUMPRODUCT(--(d_stock&gt;d_act))&amp;" rows break a limit"</f>
        <v>0 rows break a limit</v>
      </c>
    </row>
    <row r="8" ht="20" customHeight="1">
      <c r="B8" s="99" t="n">
        <v>4</v>
      </c>
      <c r="C8" s="32" t="inlineStr">
        <is>
          <t>Cities add up to the ops-app total</t>
        </is>
      </c>
      <c r="D8" s="29" t="inlineStr">
        <is>
          <t>City rows summed vs the national totals the ops app reports (table below)</t>
        </is>
      </c>
      <c r="E8" s="37" t="str">
        <f>IF(SUMPRODUCT(ABS(E17:E28))+SUMPRODUCT(ABS(H17:H28))=0,"PASS","FAIL")</f>
        <v>PASS</v>
      </c>
      <c r="F8" s="39" t="str">
        <f>"Difference over 12 weeks: "&amp;(SUMPRODUCT(ABS(E17:E28))+SUMPRODUCT(ABS(H17:H28)))</f>
        <v>Difference over 12 weeks: 0</v>
      </c>
    </row>
    <row r="9" ht="20" customHeight="1">
      <c r="B9" s="99" t="n">
        <v>5</v>
      </c>
      <c r="C9" s="32" t="inlineStr">
        <is>
          <t>No blanks or negatives</t>
        </is>
      </c>
      <c r="D9" s="29" t="inlineStr">
        <is>
          <t>Every count in the Data tab is filled in and ≥ 0</t>
        </is>
      </c>
      <c r="E9" s="37" t="str">
        <f>IF(AND(COUNTBLANK(Data!A2:V97)=0,COUNTIF(Data!E2:V97,"&lt;0")=0),"PASS","FAIL")</f>
        <v>PASS</v>
      </c>
      <c r="F9" s="39" t="str">
        <f>COUNTBLANK(Data!A2:V97)&amp;" blanks, "&amp;COUNTIF(Data!E2:V97,"&lt;0")&amp;" negatives"</f>
        <v>0 blanks, 0 negatives</v>
      </c>
    </row>
    <row r="10" ht="20" customHeight="1">
      <c r="B10" s="99" t="n">
        <v>6</v>
      </c>
      <c r="C10" s="32" t="inlineStr">
        <is>
          <t>Duplicate booking IDs</t>
        </is>
      </c>
      <c r="D10" s="29" t="inlineStr">
        <is>
          <t>Reschedules logged twice would inflate requests</t>
        </is>
      </c>
      <c r="E10" s="37" t="str">
        <f>IF(SUMPRODUCT(--(COUNTIF(raw_id,raw_id)&gt;1))=0,"PASS",IF(raw_total=SUMPRODUCT(1/COUNTIF(raw_id,raw_id)),"FIXED","FAIL"))</f>
        <v>FIXED</v>
      </c>
      <c r="F10" s="39" t="str">
        <f>SUMPRODUCT(--(COUNTIF(raw_id,raw_id)&gt;1))&amp;" rows share an ID in the raw sample ("&amp;ROUND(SUMPRODUCT(1/COUNTIF(raw_id,raw_id)),0)&amp;" unique bookings). The sample summary counts each ID once"</f>
        <v>6 rows share an ID in the raw sample (297 unique bookings). The sample summary counts each ID once</v>
      </c>
    </row>
    <row r="11" ht="20" customHeight="1">
      <c r="B11" s="99" t="n">
        <v>7</v>
      </c>
      <c r="C11" s="32" t="inlineStr">
        <is>
          <t>One fill-rate definition</t>
        </is>
      </c>
      <c r="D11" s="29" t="inlineStr">
        <is>
          <t>City Ops left out requests cancelled by customers within 5 minutes</t>
        </is>
      </c>
      <c r="E11" s="37" t="str">
        <f>"FIXED"</f>
        <v>FIXED</v>
      </c>
      <c r="F11" s="39" t="str">
        <f>"City Ops said "&amp;TEXT(SUMIFS(d_asg,d_week,42)/(SUMIFS(d_req,d_week,42)-1620),"0.0%")&amp;", MIS said "&amp;TEXT(SUMIFS(d_asg,d_week,42)/SUMIFS(d_req,d_week,42),"0.0%")&amp;". One definition now used in the MIS (A-113); sign-off pending, decision 3"</f>
        <v>City Ops said 93.5%, MIS said 91.6%. One definition now used in the MIS (A-113); sign-off pending, decision 3</v>
      </c>
    </row>
    <row r="12" ht="20" customHeight="1">
      <c r="B12" s="99" t="n">
        <v>8</v>
      </c>
      <c r="C12" s="32" t="inlineStr">
        <is>
          <t>Rates are never averaged</t>
        </is>
      </c>
      <c r="D12" s="29" t="inlineStr">
        <is>
          <t>Average of slot rates vs sum ÷ sum, from the City View tab</t>
        </is>
      </c>
      <c r="E12" s="37" t="str">
        <f>"NOTE"</f>
        <v>NOTE</v>
      </c>
      <c r="F12" s="39" t="str">
        <f>"Simple average "&amp;TEXT(trap_simple,"0.0%")&amp;" vs right answer "&amp;TEXT(trap_right,"0.0%")</f>
        <v>Simple average 91.9% vs right answer 91.6%</v>
      </c>
    </row>
    <row r="15">
      <c r="B15" s="8" t="inlineStr">
        <is>
          <t>Reconciliation: ops-app national totals vs the city rows in the Data tab</t>
        </is>
      </c>
    </row>
    <row r="16" ht="30" customHeight="1">
      <c r="B16" s="25" t="inlineStr">
        <is>
          <t>Week</t>
        </is>
      </c>
      <c r="C16" s="26" t="inlineStr">
        <is>
          <t>Ops app: requests</t>
        </is>
      </c>
      <c r="D16" s="26" t="inlineStr">
        <is>
          <t>Data tab: requests</t>
        </is>
      </c>
      <c r="E16" s="26" t="inlineStr">
        <is>
          <t>Difference</t>
        </is>
      </c>
      <c r="F16" s="26" t="inlineStr">
        <is>
          <t>Ops app: completed</t>
        </is>
      </c>
      <c r="G16" s="26" t="inlineStr">
        <is>
          <t>Data tab: completed</t>
        </is>
      </c>
      <c r="H16" s="26" t="inlineStr">
        <is>
          <t>Difference</t>
        </is>
      </c>
    </row>
    <row r="17">
      <c r="B17" s="24" t="n">
        <v>31</v>
      </c>
      <c r="C17" s="79" t="n">
        <v>72600</v>
      </c>
      <c r="D17" s="63">
        <f>SUMIFS(d_req,d_week,B17)</f>
        <v>72600</v>
      </c>
      <c r="E17" s="103">
        <f>D17-C17</f>
        <v>0</v>
      </c>
      <c r="F17" s="79" t="n">
        <v>65790</v>
      </c>
      <c r="G17" s="63">
        <f>SUMIFS(d_comp,d_week,B17)</f>
        <v>65790</v>
      </c>
      <c r="H17" s="103">
        <f>G17-F17</f>
        <v>0</v>
      </c>
    </row>
    <row r="18">
      <c r="B18" s="24" t="n">
        <v>32</v>
      </c>
      <c r="C18" s="79" t="n">
        <v>73100</v>
      </c>
      <c r="D18" s="63">
        <f>SUMIFS(d_req,d_week,B18)</f>
        <v>73100</v>
      </c>
      <c r="E18" s="103">
        <f>D18-C18</f>
        <v>0</v>
      </c>
      <c r="F18" s="79" t="n">
        <v>66315</v>
      </c>
      <c r="G18" s="63">
        <f>SUMIFS(d_comp,d_week,B18)</f>
        <v>66315</v>
      </c>
      <c r="H18" s="103">
        <f>G18-F18</f>
        <v>0</v>
      </c>
    </row>
    <row r="19">
      <c r="B19" s="24" t="n">
        <v>33</v>
      </c>
      <c r="C19" s="79" t="n">
        <v>74000</v>
      </c>
      <c r="D19" s="63">
        <f>SUMIFS(d_req,d_week,B19)</f>
        <v>74000</v>
      </c>
      <c r="E19" s="103">
        <f>D19-C19</f>
        <v>0</v>
      </c>
      <c r="F19" s="79" t="n">
        <v>66985</v>
      </c>
      <c r="G19" s="63">
        <f>SUMIFS(d_comp,d_week,B19)</f>
        <v>66985</v>
      </c>
      <c r="H19" s="103">
        <f>G19-F19</f>
        <v>0</v>
      </c>
    </row>
    <row r="20">
      <c r="B20" s="24" t="n">
        <v>34</v>
      </c>
      <c r="C20" s="79" t="n">
        <v>74500</v>
      </c>
      <c r="D20" s="63">
        <f>SUMIFS(d_req,d_week,B20)</f>
        <v>74500</v>
      </c>
      <c r="E20" s="103">
        <f>D20-C20</f>
        <v>0</v>
      </c>
      <c r="F20" s="79" t="n">
        <v>67512</v>
      </c>
      <c r="G20" s="63">
        <f>SUMIFS(d_comp,d_week,B20)</f>
        <v>67512</v>
      </c>
      <c r="H20" s="103">
        <f>G20-F20</f>
        <v>0</v>
      </c>
    </row>
    <row r="21">
      <c r="B21" s="24" t="n">
        <v>35</v>
      </c>
      <c r="C21" s="79" t="n">
        <v>75300</v>
      </c>
      <c r="D21" s="63">
        <f>SUMIFS(d_req,d_week,B21)</f>
        <v>75300</v>
      </c>
      <c r="E21" s="103">
        <f>D21-C21</f>
        <v>0</v>
      </c>
      <c r="F21" s="79" t="n">
        <v>68021</v>
      </c>
      <c r="G21" s="63">
        <f>SUMIFS(d_comp,d_week,B21)</f>
        <v>68021</v>
      </c>
      <c r="H21" s="103">
        <f>G21-F21</f>
        <v>0</v>
      </c>
    </row>
    <row r="22">
      <c r="B22" s="24" t="n">
        <v>36</v>
      </c>
      <c r="C22" s="79" t="n">
        <v>76100</v>
      </c>
      <c r="D22" s="63">
        <f>SUMIFS(d_req,d_week,B22)</f>
        <v>76100</v>
      </c>
      <c r="E22" s="103">
        <f>D22-C22</f>
        <v>0</v>
      </c>
      <c r="F22" s="79" t="n">
        <v>68596</v>
      </c>
      <c r="G22" s="63">
        <f>SUMIFS(d_comp,d_week,B22)</f>
        <v>68596</v>
      </c>
      <c r="H22" s="103">
        <f>G22-F22</f>
        <v>0</v>
      </c>
    </row>
    <row r="23">
      <c r="B23" s="24" t="n">
        <v>37</v>
      </c>
      <c r="C23" s="79" t="n">
        <v>76800</v>
      </c>
      <c r="D23" s="63">
        <f>SUMIFS(d_req,d_week,B23)</f>
        <v>76800</v>
      </c>
      <c r="E23" s="103">
        <f>D23-C23</f>
        <v>0</v>
      </c>
      <c r="F23" s="79" t="n">
        <v>69375</v>
      </c>
      <c r="G23" s="63">
        <f>SUMIFS(d_comp,d_week,B23)</f>
        <v>69375</v>
      </c>
      <c r="H23" s="103">
        <f>G23-F23</f>
        <v>0</v>
      </c>
    </row>
    <row r="24">
      <c r="B24" s="24" t="n">
        <v>38</v>
      </c>
      <c r="C24" s="79" t="n">
        <v>77600</v>
      </c>
      <c r="D24" s="63">
        <f>SUMIFS(d_req,d_week,B24)</f>
        <v>77600</v>
      </c>
      <c r="E24" s="103">
        <f>D24-C24</f>
        <v>0</v>
      </c>
      <c r="F24" s="79" t="n">
        <v>69726</v>
      </c>
      <c r="G24" s="63">
        <f>SUMIFS(d_comp,d_week,B24)</f>
        <v>69726</v>
      </c>
      <c r="H24" s="103">
        <f>G24-F24</f>
        <v>0</v>
      </c>
    </row>
    <row r="25">
      <c r="B25" s="24" t="n">
        <v>39</v>
      </c>
      <c r="C25" s="79" t="n">
        <v>78300</v>
      </c>
      <c r="D25" s="63">
        <f>SUMIFS(d_req,d_week,B25)</f>
        <v>78300</v>
      </c>
      <c r="E25" s="103">
        <f>D25-C25</f>
        <v>0</v>
      </c>
      <c r="F25" s="79" t="n">
        <v>70430</v>
      </c>
      <c r="G25" s="63">
        <f>SUMIFS(d_comp,d_week,B25)</f>
        <v>70430</v>
      </c>
      <c r="H25" s="103">
        <f>G25-F25</f>
        <v>0</v>
      </c>
    </row>
    <row r="26">
      <c r="B26" s="24" t="n">
        <v>40</v>
      </c>
      <c r="C26" s="79" t="n">
        <v>79100</v>
      </c>
      <c r="D26" s="63">
        <f>SUMIFS(d_req,d_week,B26)</f>
        <v>79100</v>
      </c>
      <c r="E26" s="103">
        <f>D26-C26</f>
        <v>0</v>
      </c>
      <c r="F26" s="79" t="n">
        <v>71067</v>
      </c>
      <c r="G26" s="63">
        <f>SUMIFS(d_comp,d_week,B26)</f>
        <v>71067</v>
      </c>
      <c r="H26" s="103">
        <f>G26-F26</f>
        <v>0</v>
      </c>
    </row>
    <row r="27">
      <c r="B27" s="24" t="n">
        <v>41</v>
      </c>
      <c r="C27" s="79" t="n">
        <v>79900</v>
      </c>
      <c r="D27" s="63">
        <f>SUMIFS(d_req,d_week,B27)</f>
        <v>79900</v>
      </c>
      <c r="E27" s="103">
        <f>D27-C27</f>
        <v>0</v>
      </c>
      <c r="F27" s="79" t="n">
        <v>71500</v>
      </c>
      <c r="G27" s="63">
        <f>SUMIFS(d_comp,d_week,B27)</f>
        <v>71500</v>
      </c>
      <c r="H27" s="103">
        <f>G27-F27</f>
        <v>0</v>
      </c>
    </row>
    <row r="28">
      <c r="B28" s="24" t="n">
        <v>42</v>
      </c>
      <c r="C28" s="79" t="n">
        <v>81400</v>
      </c>
      <c r="D28" s="63">
        <f>SUMIFS(d_req,d_week,B28)</f>
        <v>81400</v>
      </c>
      <c r="E28" s="103">
        <f>D28-C28</f>
        <v>0</v>
      </c>
      <c r="F28" s="79" t="n">
        <v>71200</v>
      </c>
      <c r="G28" s="63">
        <f>SUMIFS(d_comp,d_week,B28)</f>
        <v>71200</v>
      </c>
      <c r="H28" s="103">
        <f>G28-F28</f>
        <v>0</v>
      </c>
    </row>
  </sheetData>
  <conditionalFormatting sqref="E5:E12">
    <cfRule type="expression" priority="1" dxfId="0">
      <formula>E5="PASS"</formula>
    </cfRule>
    <cfRule type="expression" priority="2" dxfId="1">
      <formula>E5="FIXED"</formula>
    </cfRule>
    <cfRule type="expression" priority="3" dxfId="3">
      <formula>E5="NOTE"</formula>
    </cfRule>
    <cfRule type="expression" priority="4" dxfId="2">
      <formula>E5="FAIL"</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FAB219"/>
    <outlinePr summaryBelow="1" summaryRight="1"/>
    <pageSetUpPr fitToPage="1"/>
  </sheetPr>
  <dimension ref="B1:J21"/>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32" customWidth="1" min="3" max="3"/>
    <col width="9" customWidth="1" min="4" max="4"/>
    <col width="11" customWidth="1" min="5" max="5"/>
    <col width="10" customWidth="1" min="6" max="6"/>
    <col width="15" customWidth="1" min="7" max="7"/>
    <col width="11" customWidth="1" min="8" max="8"/>
    <col width="12" customWidth="1" min="9" max="9"/>
    <col width="58" customWidth="1" min="10" max="10"/>
  </cols>
  <sheetData>
    <row r="1" ht="26" customHeight="1">
      <c r="B1" s="20" t="inlineStr">
        <is>
          <t>Targets and status rule</t>
        </is>
      </c>
    </row>
    <row r="2">
      <c r="B2" s="19" t="inlineStr">
        <is>
          <t>Change a target here and every status in the workbook updates. Yellow cells are inputs.</t>
        </is>
      </c>
    </row>
    <row r="4">
      <c r="B4" s="21" t="inlineStr">
        <is>
          <t>Amber band</t>
        </is>
      </c>
      <c r="C4" s="104" t="n">
        <v>0.05</v>
      </c>
      <c r="D4" s="11" t="inlineStr">
        <is>
          <t>Green meets target. Amber is within this % of target. Red is further off.</t>
        </is>
      </c>
    </row>
    <row r="6" ht="30" customHeight="1">
      <c r="B6" s="25" t="inlineStr">
        <is>
          <t>Key</t>
        </is>
      </c>
      <c r="C6" s="26" t="inlineStr">
        <is>
          <t>Metric</t>
        </is>
      </c>
      <c r="D6" s="26" t="inlineStr">
        <is>
          <t>Unit</t>
        </is>
      </c>
      <c r="E6" s="26" t="inlineStr">
        <is>
          <t>Direction</t>
        </is>
      </c>
      <c r="F6" s="26" t="inlineStr">
        <is>
          <t>Target</t>
        </is>
      </c>
      <c r="G6" s="26" t="inlineStr">
        <is>
          <t>Owner</t>
        </is>
      </c>
      <c r="H6" s="26" t="inlineStr">
        <is>
          <t>Good when</t>
        </is>
      </c>
      <c r="I6" s="26" t="inlineStr">
        <is>
          <t>National target only</t>
        </is>
      </c>
      <c r="J6" s="26" t="inlineStr">
        <is>
          <t>Notes</t>
        </is>
      </c>
    </row>
    <row r="7">
      <c r="B7" s="39" t="inlineStr">
        <is>
          <t>nsm</t>
        </is>
      </c>
      <c r="C7" s="39" t="inlineStr">
        <is>
          <t>Perfect booking rate</t>
        </is>
      </c>
      <c r="D7" s="39" t="inlineStr">
        <is>
          <t>rate</t>
        </is>
      </c>
      <c r="E7" s="39" t="inlineStr">
        <is>
          <t>Higher</t>
        </is>
      </c>
      <c r="F7" s="105" t="n">
        <v>0.77</v>
      </c>
      <c r="G7" s="39" t="inlineStr">
        <is>
          <t>All five</t>
        </is>
      </c>
      <c r="H7" s="39" t="inlineStr">
        <is>
          <t>Up</t>
        </is>
      </c>
      <c r="I7" s="39" t="inlineStr">
        <is>
          <t>No</t>
        </is>
      </c>
      <c r="J7" s="39" t="inlineStr">
        <is>
          <t>North Star. Perfect bookings ÷ booking requests</t>
        </is>
      </c>
    </row>
    <row r="8">
      <c r="B8" s="39" t="inlineStr">
        <is>
          <t>req</t>
        </is>
      </c>
      <c r="C8" s="39" t="inlineStr">
        <is>
          <t>Booking requests</t>
        </is>
      </c>
      <c r="D8" s="39" t="inlineStr">
        <is>
          <t>count</t>
        </is>
      </c>
      <c r="E8" s="39" t="inlineStr">
        <is>
          <t>Info</t>
        </is>
      </c>
      <c r="F8" s="91" t="inlineStr">
        <is>
          <t>–</t>
        </is>
      </c>
      <c r="G8" s="39" t="inlineStr">
        <is>
          <t>City Ops</t>
        </is>
      </c>
      <c r="H8" s="39" t="inlineStr">
        <is>
          <t>Up</t>
        </is>
      </c>
      <c r="I8" s="39" t="inlineStr">
        <is>
          <t>No</t>
        </is>
      </c>
      <c r="J8" s="39" t="inlineStr"/>
    </row>
    <row r="9">
      <c r="B9" s="39" t="inlineStr">
        <is>
          <t>fill</t>
        </is>
      </c>
      <c r="C9" s="39" t="inlineStr">
        <is>
          <t>Fill rate</t>
        </is>
      </c>
      <c r="D9" s="39" t="inlineStr">
        <is>
          <t>rate</t>
        </is>
      </c>
      <c r="E9" s="39" t="inlineStr">
        <is>
          <t>Higher</t>
        </is>
      </c>
      <c r="F9" s="105" t="n">
        <v>0.95</v>
      </c>
      <c r="G9" s="39" t="inlineStr">
        <is>
          <t>City Ops</t>
        </is>
      </c>
      <c r="H9" s="39" t="inlineStr">
        <is>
          <t>Up</t>
        </is>
      </c>
      <c r="I9" s="39" t="inlineStr">
        <is>
          <t>No</t>
        </is>
      </c>
      <c r="J9" s="39" t="inlineStr"/>
    </row>
    <row r="10">
      <c r="B10" s="39" t="inlineStr">
        <is>
          <t>comp</t>
        </is>
      </c>
      <c r="C10" s="39" t="inlineStr">
        <is>
          <t>Jobs completed</t>
        </is>
      </c>
      <c r="D10" s="39" t="inlineStr">
        <is>
          <t>count</t>
        </is>
      </c>
      <c r="E10" s="39" t="inlineStr">
        <is>
          <t>Info</t>
        </is>
      </c>
      <c r="F10" s="91" t="inlineStr">
        <is>
          <t>–</t>
        </is>
      </c>
      <c r="G10" s="39" t="inlineStr">
        <is>
          <t>City Ops</t>
        </is>
      </c>
      <c r="H10" s="39" t="inlineStr">
        <is>
          <t>Up</t>
        </is>
      </c>
      <c r="I10" s="39" t="inlineStr">
        <is>
          <t>No</t>
        </is>
      </c>
      <c r="J10" s="39" t="inlineStr"/>
    </row>
    <row r="11">
      <c r="B11" s="39" t="inlineStr">
        <is>
          <t>ot</t>
        </is>
      </c>
      <c r="C11" s="39" t="inlineStr">
        <is>
          <t>On-time arrival</t>
        </is>
      </c>
      <c r="D11" s="39" t="inlineStr">
        <is>
          <t>rate</t>
        </is>
      </c>
      <c r="E11" s="39" t="inlineStr">
        <is>
          <t>Higher</t>
        </is>
      </c>
      <c r="F11" s="105" t="n">
        <v>0.92</v>
      </c>
      <c r="G11" s="39" t="inlineStr">
        <is>
          <t>City Ops</t>
        </is>
      </c>
      <c r="H11" s="39" t="inlineStr">
        <is>
          <t>Up</t>
        </is>
      </c>
      <c r="I11" s="39" t="inlineStr">
        <is>
          <t>No</t>
        </is>
      </c>
      <c r="J11" s="39" t="inlineStr">
        <is>
          <t>On time = started within 15 min of slot. To agree with the VP</t>
        </is>
      </c>
    </row>
    <row r="12">
      <c r="B12" s="39" t="inlineStr">
        <is>
          <t>cc</t>
        </is>
      </c>
      <c r="C12" s="39" t="inlineStr">
        <is>
          <t>Cancellations, customer side</t>
        </is>
      </c>
      <c r="D12" s="39" t="inlineStr">
        <is>
          <t>rate</t>
        </is>
      </c>
      <c r="E12" s="39" t="inlineStr">
        <is>
          <t>Lower</t>
        </is>
      </c>
      <c r="F12" s="105" t="n">
        <v>0.03</v>
      </c>
      <c r="G12" s="39" t="inlineStr">
        <is>
          <t>CX</t>
        </is>
      </c>
      <c r="H12" s="39" t="inlineStr">
        <is>
          <t>Down</t>
        </is>
      </c>
      <c r="I12" s="39" t="inlineStr">
        <is>
          <t>No</t>
        </is>
      </c>
      <c r="J12" s="39" t="inlineStr"/>
    </row>
    <row r="13">
      <c r="B13" s="39" t="inlineStr">
        <is>
          <t>pc</t>
        </is>
      </c>
      <c r="C13" s="39" t="inlineStr">
        <is>
          <t>Cancellations, partner side</t>
        </is>
      </c>
      <c r="D13" s="39" t="inlineStr">
        <is>
          <t>rate</t>
        </is>
      </c>
      <c r="E13" s="39" t="inlineStr">
        <is>
          <t>Lower</t>
        </is>
      </c>
      <c r="F13" s="105" t="n">
        <v>0.015</v>
      </c>
      <c r="G13" s="39" t="inlineStr">
        <is>
          <t>Supply</t>
        </is>
      </c>
      <c r="H13" s="39" t="inlineStr">
        <is>
          <t>Down</t>
        </is>
      </c>
      <c r="I13" s="39" t="inlineStr">
        <is>
          <t>No</t>
        </is>
      </c>
      <c r="J13" s="39" t="inlineStr"/>
    </row>
    <row r="14">
      <c r="B14" s="39" t="inlineStr">
        <is>
          <t>act</t>
        </is>
      </c>
      <c r="C14" s="39" t="inlineStr">
        <is>
          <t>Active partners (1+ job)</t>
        </is>
      </c>
      <c r="D14" s="39" t="inlineStr">
        <is>
          <t>count</t>
        </is>
      </c>
      <c r="E14" s="39" t="inlineStr">
        <is>
          <t>Higher</t>
        </is>
      </c>
      <c r="F14" s="106" t="n">
        <v>7600</v>
      </c>
      <c r="G14" s="39" t="inlineStr">
        <is>
          <t>Supply</t>
        </is>
      </c>
      <c r="H14" s="39" t="inlineStr">
        <is>
          <t>Up</t>
        </is>
      </c>
      <c r="I14" s="39" t="inlineStr">
        <is>
          <t>Yes</t>
        </is>
      </c>
      <c r="J14" s="39" t="inlineStr">
        <is>
          <t>National target. Shows as Info when a single city is selected</t>
        </is>
      </c>
    </row>
    <row r="15">
      <c r="B15" s="39" t="inlineStr">
        <is>
          <t>cert</t>
        </is>
      </c>
      <c r="C15" s="39" t="inlineStr">
        <is>
          <t>New partners certified</t>
        </is>
      </c>
      <c r="D15" s="39" t="inlineStr">
        <is>
          <t>count</t>
        </is>
      </c>
      <c r="E15" s="39" t="inlineStr">
        <is>
          <t>Higher</t>
        </is>
      </c>
      <c r="F15" s="106" t="n">
        <v>200</v>
      </c>
      <c r="G15" s="39" t="inlineStr">
        <is>
          <t>Training &amp; QA</t>
        </is>
      </c>
      <c r="H15" s="39" t="inlineStr">
        <is>
          <t>Up</t>
        </is>
      </c>
      <c r="I15" s="39" t="inlineStr">
        <is>
          <t>Yes</t>
        </is>
      </c>
      <c r="J15" s="39" t="inlineStr">
        <is>
          <t>National target. Shows as Info when a single city is selected</t>
        </is>
      </c>
    </row>
    <row r="16">
      <c r="B16" s="39" t="inlineStr">
        <is>
          <t>ret</t>
        </is>
      </c>
      <c r="C16" s="39" t="inlineStr">
        <is>
          <t>90-day retention (cohort)</t>
        </is>
      </c>
      <c r="D16" s="39" t="inlineStr">
        <is>
          <t>rate</t>
        </is>
      </c>
      <c r="E16" s="39" t="inlineStr">
        <is>
          <t>Higher</t>
        </is>
      </c>
      <c r="F16" s="107" t="n">
        <v>0.7</v>
      </c>
      <c r="G16" s="39" t="inlineStr">
        <is>
          <t>Supply</t>
        </is>
      </c>
      <c r="H16" s="39" t="inlineStr">
        <is>
          <t>Up</t>
        </is>
      </c>
      <c r="I16" s="39" t="inlineStr">
        <is>
          <t>No</t>
        </is>
      </c>
      <c r="J16" s="39" t="inlineStr">
        <is>
          <t>Cohort that joined 13 weeks ago</t>
        </is>
      </c>
    </row>
    <row r="17">
      <c r="B17" s="39" t="inlineStr">
        <is>
          <t>jppd</t>
        </is>
      </c>
      <c r="C17" s="39" t="inlineStr">
        <is>
          <t>Jobs per active partner per day</t>
        </is>
      </c>
      <c r="D17" s="39" t="inlineStr">
        <is>
          <t>decimal</t>
        </is>
      </c>
      <c r="E17" s="39" t="inlineStr">
        <is>
          <t>Higher</t>
        </is>
      </c>
      <c r="F17" s="108" t="n">
        <v>1.65</v>
      </c>
      <c r="G17" s="39" t="inlineStr">
        <is>
          <t>City Ops</t>
        </is>
      </c>
      <c r="H17" s="39" t="inlineStr">
        <is>
          <t>Up</t>
        </is>
      </c>
      <c r="I17" s="39" t="inlineStr">
        <is>
          <t>No</t>
        </is>
      </c>
      <c r="J17" s="39" t="inlineStr">
        <is>
          <t>Assumes 6 working days a week</t>
        </is>
      </c>
    </row>
    <row r="18">
      <c r="B18" s="39" t="inlineStr">
        <is>
          <t>rating</t>
        </is>
      </c>
      <c r="C18" s="39" t="inlineStr">
        <is>
          <t>Average rating</t>
        </is>
      </c>
      <c r="D18" s="39" t="inlineStr">
        <is>
          <t>decimal</t>
        </is>
      </c>
      <c r="E18" s="39" t="inlineStr">
        <is>
          <t>Higher</t>
        </is>
      </c>
      <c r="F18" s="108" t="n">
        <v>4.7</v>
      </c>
      <c r="G18" s="39" t="inlineStr">
        <is>
          <t>Training &amp; QA</t>
        </is>
      </c>
      <c r="H18" s="39" t="inlineStr">
        <is>
          <t>Up</t>
        </is>
      </c>
      <c r="I18" s="39" t="inlineStr">
        <is>
          <t>No</t>
        </is>
      </c>
      <c r="J18" s="39" t="inlineStr"/>
    </row>
    <row r="19">
      <c r="B19" s="39" t="inlineStr">
        <is>
          <t>cpk</t>
        </is>
      </c>
      <c r="C19" s="39" t="inlineStr">
        <is>
          <t>Complaints per 1,000 jobs</t>
        </is>
      </c>
      <c r="D19" s="39" t="inlineStr">
        <is>
          <t>decimal</t>
        </is>
      </c>
      <c r="E19" s="39" t="inlineStr">
        <is>
          <t>Lower</t>
        </is>
      </c>
      <c r="F19" s="109" t="n">
        <v>8</v>
      </c>
      <c r="G19" s="39" t="inlineStr">
        <is>
          <t>CX</t>
        </is>
      </c>
      <c r="H19" s="39" t="inlineStr">
        <is>
          <t>Down</t>
        </is>
      </c>
      <c r="I19" s="39" t="inlineStr">
        <is>
          <t>No</t>
        </is>
      </c>
      <c r="J19" s="39" t="inlineStr"/>
    </row>
    <row r="20">
      <c r="B20" s="39" t="inlineStr">
        <is>
          <t>redo</t>
        </is>
      </c>
      <c r="C20" s="39" t="inlineStr">
        <is>
          <t>Redo / refund rate</t>
        </is>
      </c>
      <c r="D20" s="39" t="inlineStr">
        <is>
          <t>rate</t>
        </is>
      </c>
      <c r="E20" s="39" t="inlineStr">
        <is>
          <t>Lower</t>
        </is>
      </c>
      <c r="F20" s="105" t="n">
        <v>0.012</v>
      </c>
      <c r="G20" s="39" t="inlineStr">
        <is>
          <t>CX</t>
        </is>
      </c>
      <c r="H20" s="39" t="inlineStr">
        <is>
          <t>Down</t>
        </is>
      </c>
      <c r="I20" s="39" t="inlineStr">
        <is>
          <t>No</t>
        </is>
      </c>
      <c r="J20" s="39" t="inlineStr"/>
    </row>
    <row r="21">
      <c r="B21" s="39" t="inlineStr">
        <is>
          <t>kit</t>
        </is>
      </c>
      <c r="C21" s="39" t="inlineStr">
        <is>
          <t>Partners with a kit stock-out</t>
        </is>
      </c>
      <c r="D21" s="39" t="inlineStr">
        <is>
          <t>rate</t>
        </is>
      </c>
      <c r="E21" s="39" t="inlineStr">
        <is>
          <t>Lower</t>
        </is>
      </c>
      <c r="F21" s="105" t="n">
        <v>0.02</v>
      </c>
      <c r="G21" s="39" t="inlineStr">
        <is>
          <t>Inventory</t>
        </is>
      </c>
      <c r="H21" s="39" t="inlineStr">
        <is>
          <t>Down</t>
        </is>
      </c>
      <c r="I21" s="39" t="inlineStr">
        <is>
          <t>No</t>
        </is>
      </c>
      <c r="J21" s="39" t="inlineStr"/>
    </row>
  </sheetData>
  <pageMargins left="0.75" right="0.75" top="1" bottom="1" header="0.5" footer="0.5"/>
  <pageSetup orientation="landscape" fitToHeight="0" fitToWidth="1"/>
</worksheet>
</file>

<file path=xl/worksheets/sheet11.xml><?xml version="1.0" encoding="utf-8"?>
<worksheet xmlns="http://schemas.openxmlformats.org/spreadsheetml/2006/main">
  <sheetPr>
    <tabColor rgb="00FAB219"/>
    <outlinePr summaryBelow="1" summaryRight="1"/>
    <pageSetUpPr fitToPage="1"/>
  </sheetPr>
  <dimension ref="B1:E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28" customWidth="1" min="2" max="2"/>
    <col width="70" customWidth="1" min="3" max="3"/>
    <col width="30" customWidth="1" min="4" max="4"/>
    <col width="16" customWidth="1" min="5" max="5"/>
  </cols>
  <sheetData>
    <row r="1" ht="26" customHeight="1">
      <c r="B1" s="20" t="inlineStr">
        <is>
          <t>Metric dictionary, v1</t>
        </is>
      </c>
    </row>
    <row r="2">
      <c r="B2" s="19" t="inlineStr">
        <is>
          <t>One definition per number. Most 'data mismatches' between managers are definition mismatches.</t>
        </is>
      </c>
    </row>
    <row r="4" ht="30" customHeight="1">
      <c r="B4" s="25" t="inlineStr">
        <is>
          <t>Metric</t>
        </is>
      </c>
      <c r="C4" s="26" t="inlineStr">
        <is>
          <t>Definition</t>
        </is>
      </c>
      <c r="D4" s="26" t="inlineStr">
        <is>
          <t>Formula in this workbook</t>
        </is>
      </c>
      <c r="E4" s="26" t="inlineStr">
        <is>
          <t>Owner</t>
        </is>
      </c>
    </row>
    <row r="5" ht="30" customHeight="1">
      <c r="B5" s="110" t="inlineStr">
        <is>
          <t>Perfect booking (North Star)</t>
        </is>
      </c>
      <c r="C5" s="111" t="inlineStr">
        <is>
          <t>Completed, started within 15 min of the slot, no complaint, no redo or refund, rated 4★+ or not rated. Rate = ÷ booking requests</t>
        </is>
      </c>
      <c r="D5" s="111" t="inlineStr">
        <is>
          <t>perfect ÷ requests</t>
        </is>
      </c>
      <c r="E5" s="111" t="inlineStr">
        <is>
          <t>All five</t>
        </is>
      </c>
    </row>
    <row r="6" ht="30" customHeight="1">
      <c r="B6" s="110" t="inlineStr">
        <is>
          <t>Booking requests</t>
        </is>
      </c>
      <c r="C6" s="111" t="inlineStr">
        <is>
          <t>Unique booking IDs with a service date in the week. A reschedule counts once</t>
        </is>
      </c>
      <c r="D6" s="111" t="inlineStr">
        <is>
          <t>SUMIFS(requests)</t>
        </is>
      </c>
      <c r="E6" s="111" t="inlineStr">
        <is>
          <t>City Ops</t>
        </is>
      </c>
    </row>
    <row r="7" ht="30" customHeight="1">
      <c r="B7" s="110" t="inlineStr">
        <is>
          <t>Fill rate</t>
        </is>
      </c>
      <c r="C7" s="111" t="inlineStr">
        <is>
          <t>Requests assigned a partner ÷ booking requests</t>
        </is>
      </c>
      <c r="D7" s="111" t="inlineStr">
        <is>
          <t>assigned ÷ requests</t>
        </is>
      </c>
      <c r="E7" s="111" t="inlineStr">
        <is>
          <t>City Ops</t>
        </is>
      </c>
    </row>
    <row r="8" ht="30" customHeight="1">
      <c r="B8" s="110" t="inlineStr">
        <is>
          <t>Jobs completed</t>
        </is>
      </c>
      <c r="C8" s="111" t="inlineStr">
        <is>
          <t>Assigned − customer cancels − partner cancels</t>
        </is>
      </c>
      <c r="D8" s="111" t="inlineStr">
        <is>
          <t>assigned − cancels</t>
        </is>
      </c>
      <c r="E8" s="111" t="inlineStr">
        <is>
          <t>City Ops</t>
        </is>
      </c>
    </row>
    <row r="9" ht="30" customHeight="1">
      <c r="B9" s="110" t="inlineStr">
        <is>
          <t>On-time arrival</t>
        </is>
      </c>
      <c r="C9" s="111" t="inlineStr">
        <is>
          <t>Jobs started within 15 min of slot ÷ jobs completed (15 min to agree with the VP)</t>
        </is>
      </c>
      <c r="D9" s="111" t="inlineStr">
        <is>
          <t>on time ÷ completed</t>
        </is>
      </c>
      <c r="E9" s="111" t="inlineStr">
        <is>
          <t>City Ops</t>
        </is>
      </c>
    </row>
    <row r="10" ht="30" customHeight="1">
      <c r="B10" s="110" t="inlineStr">
        <is>
          <t>Cancellation rate</t>
        </is>
      </c>
      <c r="C10" s="111" t="inlineStr">
        <is>
          <t>Cancelled after assignment ÷ assigned. Split customer side and partner side</t>
        </is>
      </c>
      <c r="D10" s="111" t="inlineStr">
        <is>
          <t>cancels ÷ assigned</t>
        </is>
      </c>
      <c r="E10" s="111" t="inlineStr">
        <is>
          <t>CX / Supply</t>
        </is>
      </c>
    </row>
    <row r="11" ht="30" customHeight="1">
      <c r="B11" s="110" t="inlineStr">
        <is>
          <t>Active partner</t>
        </is>
      </c>
      <c r="C11" s="111" t="inlineStr">
        <is>
          <t>Did 1 or more jobs in the week</t>
        </is>
      </c>
      <c r="D11" s="111" t="inlineStr">
        <is>
          <t>SUMIFS(active partners)</t>
        </is>
      </c>
      <c r="E11" s="111" t="inlineStr">
        <is>
          <t>Supply</t>
        </is>
      </c>
    </row>
    <row r="12" ht="30" customHeight="1">
      <c r="B12" s="110" t="inlineStr">
        <is>
          <t>New partners certified</t>
        </is>
      </c>
      <c r="C12" s="111" t="inlineStr">
        <is>
          <t>Passed the final assessment this week</t>
        </is>
      </c>
      <c r="D12" s="111" t="inlineStr">
        <is>
          <t>SUMIFS(certified)</t>
        </is>
      </c>
      <c r="E12" s="111" t="inlineStr">
        <is>
          <t>Training &amp; QA</t>
        </is>
      </c>
    </row>
    <row r="13" ht="30" customHeight="1">
      <c r="B13" s="110" t="inlineStr">
        <is>
          <t>90-day retention</t>
        </is>
      </c>
      <c r="C13" s="111" t="inlineStr">
        <is>
          <t>Partners from the cohort that joined 13 weeks ago, still active this week ÷ cohort size</t>
        </is>
      </c>
      <c r="D13" s="111" t="inlineStr">
        <is>
          <t>cohort active ÷ cohort size</t>
        </is>
      </c>
      <c r="E13" s="111" t="inlineStr">
        <is>
          <t>Supply</t>
        </is>
      </c>
    </row>
    <row r="14" ht="30" customHeight="1">
      <c r="B14" s="110" t="inlineStr">
        <is>
          <t>Jobs per partner per day</t>
        </is>
      </c>
      <c r="C14" s="111" t="inlineStr">
        <is>
          <t>Jobs completed ÷ (active partners × 6 working days)</t>
        </is>
      </c>
      <c r="D14" s="111" t="inlineStr">
        <is>
          <t>completed ÷ (active × 6)</t>
        </is>
      </c>
      <c r="E14" s="111" t="inlineStr">
        <is>
          <t>City Ops</t>
        </is>
      </c>
    </row>
    <row r="15" ht="30" customHeight="1">
      <c r="B15" s="110" t="inlineStr">
        <is>
          <t>Average rating</t>
        </is>
      </c>
      <c r="C15" s="111" t="inlineStr">
        <is>
          <t>Sum of stars ÷ number of ratings</t>
        </is>
      </c>
      <c r="D15" s="111" t="inlineStr">
        <is>
          <t>stars ÷ ratings</t>
        </is>
      </c>
      <c r="E15" s="111" t="inlineStr">
        <is>
          <t>Training &amp; QA</t>
        </is>
      </c>
    </row>
    <row r="16" ht="30" customHeight="1">
      <c r="B16" s="110" t="inlineStr">
        <is>
          <t>Complaints per 1,000</t>
        </is>
      </c>
      <c r="C16" s="111" t="inlineStr">
        <is>
          <t>Complaints ÷ jobs completed × 1,000</t>
        </is>
      </c>
      <c r="D16" s="111" t="inlineStr">
        <is>
          <t>complaints ÷ completed × 1,000</t>
        </is>
      </c>
      <c r="E16" s="111" t="inlineStr">
        <is>
          <t>CX</t>
        </is>
      </c>
    </row>
    <row r="17" ht="30" customHeight="1">
      <c r="B17" s="110" t="inlineStr">
        <is>
          <t>Redo / refund rate</t>
        </is>
      </c>
      <c r="C17" s="111" t="inlineStr">
        <is>
          <t>Jobs redone or refunded ÷ jobs completed</t>
        </is>
      </c>
      <c r="D17" s="111" t="inlineStr">
        <is>
          <t>redo ÷ completed</t>
        </is>
      </c>
      <c r="E17" s="111" t="inlineStr">
        <is>
          <t>CX</t>
        </is>
      </c>
    </row>
    <row r="18" ht="30" customHeight="1">
      <c r="B18" s="110" t="inlineStr">
        <is>
          <t>Kit stock-out</t>
        </is>
      </c>
      <c r="C18" s="111" t="inlineStr">
        <is>
          <t>Partners reporting 1 or more missing kit items ÷ active partners</t>
        </is>
      </c>
      <c r="D18" s="111" t="inlineStr">
        <is>
          <t>stock-out partners ÷ active</t>
        </is>
      </c>
      <c r="E18" s="111" t="inlineStr">
        <is>
          <t>Inventory</t>
        </is>
      </c>
    </row>
    <row r="19" ht="30" customHeight="1">
      <c r="B19" s="110" t="inlineStr">
        <is>
          <t>Week</t>
        </is>
      </c>
      <c r="C19" s="111" t="inlineStr">
        <is>
          <t>Service date, Monday to Sunday, IST. ISO week number</t>
        </is>
      </c>
      <c r="D19" s="111" t="inlineStr">
        <is>
          <t>—</t>
        </is>
      </c>
      <c r="E19" s="111" t="inlineStr">
        <is>
          <t>Founder's Office</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tabColor rgb="00FAB219"/>
    <outlinePr summaryBelow="1" summaryRight="1"/>
    <pageSetUpPr fitToPage="1"/>
  </sheetPr>
  <dimension ref="B1:D27"/>
  <sheetViews>
    <sheetView showGridLines="0" workbookViewId="0">
      <selection activeCell="A1" sqref="A1"/>
    </sheetView>
  </sheetViews>
  <sheetFormatPr baseColWidth="8" defaultRowHeight="15"/>
  <cols>
    <col width="2" customWidth="1" min="1" max="1"/>
    <col width="34" customWidth="1" min="2" max="2"/>
    <col width="62" customWidth="1" min="3" max="3"/>
    <col width="70" customWidth="1" min="4" max="4"/>
  </cols>
  <sheetData>
    <row r="1" ht="26" customHeight="1">
      <c r="B1" s="20" t="inlineStr">
        <is>
          <t>Built for this role</t>
        </is>
      </c>
    </row>
    <row r="2">
      <c r="B2" s="19" t="inlineStr">
        <is>
          <t>Each line of the job description, where it shows up in this pack, and where I've done it before.</t>
        </is>
      </c>
    </row>
    <row r="4" ht="30" customHeight="1">
      <c r="B4" s="25" t="inlineStr">
        <is>
          <t>The JD asks for</t>
        </is>
      </c>
      <c r="C4" s="26" t="inlineStr">
        <is>
          <t>Where it is in this pack</t>
        </is>
      </c>
      <c r="D4" s="26" t="inlineStr">
        <is>
          <t>Where I've done it before</t>
        </is>
      </c>
    </row>
    <row r="5" ht="42" customHeight="1">
      <c r="B5" s="110" t="inlineStr">
        <is>
          <t>MIS reporting and dashboards</t>
        </is>
      </c>
      <c r="C5" s="111" t="inlineStr">
        <is>
          <t>Dashboard slides 1–5. This workbook: one Data tab feeds every number</t>
        </is>
      </c>
      <c r="D5" s="111" t="inlineStr">
        <is>
          <t>LVX: automated dashboards in Google Sheets and Power BI tracking ₹7 Cr+ of pipeline. Reporting accuracy up 30%</t>
        </is>
      </c>
    </row>
    <row r="6" ht="42" customHeight="1">
      <c r="B6" s="110" t="inlineStr">
        <is>
          <t>Turn data into insights</t>
        </is>
      </c>
      <c r="C6" s="111" t="inlineStr">
        <is>
          <t>North Star leak split; ₹ impact; kits → cancellations → fill rate link (CORREL on Quality &amp; Kits)</t>
        </is>
      </c>
      <c r="D6" s="111" t="inlineStr">
        <is>
          <t>LVX: funnel analysis across ₹3.5 Cr, ₹7 Cr and ₹9 Cr+ launches. Conversion up 20%</t>
        </is>
      </c>
    </row>
    <row r="7" ht="42" customHeight="1">
      <c r="B7" s="110" t="inlineStr">
        <is>
          <t>Weekly and monthly reports, review decks</t>
        </is>
      </c>
      <c r="C7" s="111" t="inlineStr">
        <is>
          <t>Weekly MIS tab (one page) and Monthly tab. The dashboard is the review deck</t>
        </is>
      </c>
      <c r="D7" s="111" t="inlineStr">
        <is>
          <t>Techvaraha: weekly and monthly reviews across 4 departments. 15+ executive presentations</t>
        </is>
      </c>
    </row>
    <row r="8" ht="42" customHeight="1">
      <c r="B8" s="110" t="inlineStr">
        <is>
          <t>Spot discrepancies, gaps and bottlenecks</t>
        </is>
      </c>
      <c r="C8" s="111" t="inlineStr">
        <is>
          <t>Data Checks tab: 6 live checks and 2 documented notes, reconciliation to the ops-app totals, duplicate IDs</t>
        </is>
      </c>
      <c r="D8" s="111" t="inlineStr">
        <is>
          <t>LVX: reporting SOPs and data workflows. Manual errors down 35%</t>
        </is>
      </c>
    </row>
    <row r="9" ht="42" customHeight="1">
      <c r="B9" s="110" t="inlineStr">
        <is>
          <t>Track managers' priorities, deliverables and timelines</t>
        </is>
      </c>
      <c r="C9" s="111" t="inlineStr">
        <is>
          <t>Action Tracker: one owner and one date per action, days late and flags by formula</t>
        </is>
      </c>
      <c r="D9" s="111" t="inlineStr">
        <is>
          <t>Techvaraha: kept 15–20 people across our team and client CXOs moving together. Project delays down 25%</t>
        </is>
      </c>
    </row>
    <row r="10" ht="42" customHeight="1">
      <c r="B10" s="110" t="inlineStr">
        <is>
          <t>Follow up and close on time</t>
        </is>
      </c>
      <c r="C10" s="111" t="inlineStr">
        <is>
          <t>Manager summary, on-time closure %, escalation ladder</t>
        </is>
      </c>
      <c r="D10" s="111" t="inlineStr">
        <is>
          <t>Techvaraha: escalation turnaround down 40%. Zero missed deliverables for 3 quarters</t>
        </is>
      </c>
    </row>
    <row r="11" ht="42" customHeight="1">
      <c r="B11" s="110" t="inlineStr">
        <is>
          <t>Monitor metrics against targets</t>
        </is>
      </c>
      <c r="C11" s="111" t="inlineStr">
        <is>
          <t>Targets tab drives every status. One red-amber-green rule for all 13 targeted KPIs (15 tracked)</t>
        </is>
      </c>
      <c r="D11" s="111" t="inlineStr">
        <is>
          <t>Techvaraha: 4 SOPs, QA workflows and KRAs. On-time delivery from 65% to 90%</t>
        </is>
      </c>
    </row>
    <row r="12" ht="42" customHeight="1">
      <c r="B12" s="110" t="inlineStr">
        <is>
          <t>Confidentiality and integrity</t>
        </is>
      </c>
      <c r="C12" s="111" t="inlineStr">
        <is>
          <t>Mock data only. Weekly MIS is protected; only the yellow input cells can be edited</t>
        </is>
      </c>
      <c r="D12" s="111" t="inlineStr">
        <is>
          <t>LVX: owned investor consent and compliance workflows for the Dubai corridor</t>
        </is>
      </c>
    </row>
    <row r="13" ht="42" customHeight="1">
      <c r="B13" s="110" t="inlineStr">
        <is>
          <t>Strong Excel and Google Sheets</t>
        </is>
      </c>
      <c r="C13" s="111" t="inlineStr">
        <is>
          <t>SUMIFS, COUNTIFS, INDEX-MATCH, named ranges, data validation, conditional formatting, CORREL</t>
        </is>
      </c>
      <c r="D13" s="111" t="inlineStr">
        <is>
          <t>Advanced Excel. Automated Google Sheets dashboards at LVX</t>
        </is>
      </c>
    </row>
    <row r="14" ht="42" customHeight="1">
      <c r="B14" s="110" t="inlineStr">
        <is>
          <t>Partner supply and ops</t>
        </is>
      </c>
      <c r="C14" s="111" t="inlineStr">
        <is>
          <t>Supply tab: onboarding funnel, cohort retention, utilisation lever</t>
        </is>
      </c>
      <c r="D14" s="111" t="inlineStr">
        <is>
          <t>Built a network of 1,400+ healthcare practitioners and 15+ hospital tie-ups. Ran sourcing, inventory and QC at Gomedha</t>
        </is>
      </c>
    </row>
    <row r="15" ht="42" customHeight="1">
      <c r="B15" s="110" t="inlineStr">
        <is>
          <t>A fast leadership office</t>
        </is>
      </c>
      <c r="C15" s="111" t="inlineStr">
        <is>
          <t>Built over one weekend, from public information</t>
        </is>
      </c>
      <c r="D15" s="111" t="inlineStr">
        <is>
          <t>Two Founder's Office roles. Best Execution Award 2025</t>
        </is>
      </c>
    </row>
    <row r="17">
      <c r="B17" s="8" t="inlineStr">
        <is>
          <t>My first 90 days</t>
        </is>
      </c>
    </row>
    <row r="18">
      <c r="B18" s="112" t="inlineStr">
        <is>
          <t>Days 1–30</t>
        </is>
      </c>
      <c r="C18" s="9" t="inlineStr">
        <is>
          <t>Learn each manager's area. Audit today's MIS. Write the metric dictionary.</t>
        </is>
      </c>
    </row>
    <row r="19">
      <c r="B19" s="112" t="inlineStr">
        <is>
          <t>Days 31–60</t>
        </is>
      </c>
      <c r="C19" s="9" t="inlineStr">
        <is>
          <t>Launch one weekly MIS and one action tracker. Run the weekly review.</t>
        </is>
      </c>
    </row>
    <row r="20">
      <c r="B20" s="112" t="inlineStr">
        <is>
          <t>Days 61–90</t>
        </is>
      </c>
      <c r="C20" s="9" t="inlineStr">
        <is>
          <t>Automate the manual parts. Own one bottleneck fix end to end, picked with the VP.</t>
        </is>
      </c>
    </row>
    <row r="22">
      <c r="B22" s="8" t="inlineStr">
        <is>
          <t>Public facts this mock is scaled to</t>
        </is>
      </c>
    </row>
    <row r="23">
      <c r="B23" s="9" t="inlineStr">
        <is>
          <t>Bookings a month</t>
        </is>
      </c>
      <c r="C23" s="21" t="inlineStr">
        <is>
          <t>about 3.5 lakh</t>
        </is>
      </c>
    </row>
    <row r="24">
      <c r="B24" s="9" t="inlineStr">
        <is>
          <t>Partners onboarded</t>
        </is>
      </c>
      <c r="C24" s="21" t="inlineStr">
        <is>
          <t>12,000+</t>
        </is>
      </c>
    </row>
    <row r="25">
      <c r="B25" s="9" t="inlineStr">
        <is>
          <t>Active partners</t>
        </is>
      </c>
      <c r="C25" s="21" t="inlineStr">
        <is>
          <t>about 7,500</t>
        </is>
      </c>
    </row>
    <row r="26">
      <c r="B26" s="9" t="inlineStr">
        <is>
          <t>Cities</t>
        </is>
      </c>
      <c r="C26" s="21" t="inlineStr">
        <is>
          <t>55–60</t>
        </is>
      </c>
    </row>
    <row r="27">
      <c r="B27" s="19" t="inlineStr">
        <is>
          <t>From company statements and press (YourStory, Apr 2026). Everything else in this workbook is mock.</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tabColor rgb="009CA3AF"/>
    <outlinePr summaryBelow="1" summaryRight="1"/>
    <pageSetUpPr fitToPage="1"/>
  </sheetPr>
  <dimension ref="A1:V99"/>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8"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1" ht="30" customHeight="1">
      <c r="A1" s="25" t="inlineStr">
        <is>
          <t>Week</t>
        </is>
      </c>
      <c r="B1" s="26" t="inlineStr">
        <is>
          <t>Week starting</t>
        </is>
      </c>
      <c r="C1" s="26" t="inlineStr">
        <is>
          <t>Month (ISO)</t>
        </is>
      </c>
      <c r="D1" s="26" t="inlineStr">
        <is>
          <t>City</t>
        </is>
      </c>
      <c r="E1" s="26" t="inlineStr">
        <is>
          <t>Booking requests</t>
        </is>
      </c>
      <c r="F1" s="26" t="inlineStr">
        <is>
          <t>Partner assigned</t>
        </is>
      </c>
      <c r="G1" s="26" t="inlineStr">
        <is>
          <t>Cancelled, customer</t>
        </is>
      </c>
      <c r="H1" s="26" t="inlineStr">
        <is>
          <t>Cancelled, partner</t>
        </is>
      </c>
      <c r="I1" s="26" t="inlineStr">
        <is>
          <t>Jobs completed</t>
        </is>
      </c>
      <c r="J1" s="26" t="inlineStr">
        <is>
          <t>Started on time</t>
        </is>
      </c>
      <c r="K1" s="26" t="inlineStr">
        <is>
          <t>Perfect bookings</t>
        </is>
      </c>
      <c r="L1" s="26" t="inlineStr">
        <is>
          <t>Complaints</t>
        </is>
      </c>
      <c r="M1" s="26" t="inlineStr">
        <is>
          <t>Redo / refunds</t>
        </is>
      </c>
      <c r="N1" s="26" t="inlineStr">
        <is>
          <t>Ratings given</t>
        </is>
      </c>
      <c r="O1" s="26" t="inlineStr">
        <is>
          <t>Sum of stars</t>
        </is>
      </c>
      <c r="P1" s="26" t="inlineStr">
        <is>
          <t>Ratings below 4★</t>
        </is>
      </c>
      <c r="Q1" s="26" t="inlineStr">
        <is>
          <t>Active partners</t>
        </is>
      </c>
      <c r="R1" s="26" t="inlineStr">
        <is>
          <t>New partners certified</t>
        </is>
      </c>
      <c r="S1" s="26" t="inlineStr">
        <is>
          <t>Partners with kit stock-out</t>
        </is>
      </c>
      <c r="T1" s="26" t="inlineStr">
        <is>
          <t>Cohort size (joined 13 wks ago)</t>
        </is>
      </c>
      <c r="U1" s="26" t="inlineStr">
        <is>
          <t>Cohort still active</t>
        </is>
      </c>
      <c r="V1" s="26" t="inlineStr">
        <is>
          <t>GMV (₹)</t>
        </is>
      </c>
    </row>
    <row r="2">
      <c r="A2" s="113" t="n">
        <v>31</v>
      </c>
      <c r="B2" s="114" t="n">
        <v>46230</v>
      </c>
      <c r="C2" s="9" t="inlineStr">
        <is>
          <t>Jul</t>
        </is>
      </c>
      <c r="D2" s="9" t="inlineStr">
        <is>
          <t>Delhi</t>
        </is>
      </c>
      <c r="E2" s="63" t="n">
        <v>12304</v>
      </c>
      <c r="F2" s="63" t="n">
        <v>11636</v>
      </c>
      <c r="G2" s="63" t="n">
        <v>288</v>
      </c>
      <c r="H2" s="63" t="n">
        <v>123</v>
      </c>
      <c r="I2" s="63" t="n">
        <v>11225</v>
      </c>
      <c r="J2" s="63" t="n">
        <v>10229</v>
      </c>
      <c r="K2" s="63" t="n">
        <v>9984</v>
      </c>
      <c r="L2" s="63" t="n">
        <v>80</v>
      </c>
      <c r="M2" s="63" t="n">
        <v>97</v>
      </c>
      <c r="N2" s="63" t="n">
        <v>6853</v>
      </c>
      <c r="O2" s="63" t="n">
        <v>32556</v>
      </c>
      <c r="P2" s="63" t="n">
        <v>139</v>
      </c>
      <c r="Q2" s="63" t="n">
        <v>1199</v>
      </c>
      <c r="R2" s="63" t="n">
        <v>29</v>
      </c>
      <c r="S2" s="63" t="n">
        <v>20</v>
      </c>
      <c r="T2" s="63" t="n">
        <v>46</v>
      </c>
      <c r="U2" s="63" t="n">
        <v>30</v>
      </c>
      <c r="V2" s="63" t="n">
        <v>15041500</v>
      </c>
    </row>
    <row r="3">
      <c r="A3" s="113" t="n">
        <v>31</v>
      </c>
      <c r="B3" s="114" t="n">
        <v>46230</v>
      </c>
      <c r="C3" s="9" t="inlineStr">
        <is>
          <t>Jul</t>
        </is>
      </c>
      <c r="D3" s="9" t="inlineStr">
        <is>
          <t>Gurugram</t>
        </is>
      </c>
      <c r="E3" s="63" t="n">
        <v>8602</v>
      </c>
      <c r="F3" s="63" t="n">
        <v>8078</v>
      </c>
      <c r="G3" s="63" t="n">
        <v>224</v>
      </c>
      <c r="H3" s="63" t="n">
        <v>107</v>
      </c>
      <c r="I3" s="63" t="n">
        <v>7747</v>
      </c>
      <c r="J3" s="63" t="n">
        <v>6890</v>
      </c>
      <c r="K3" s="63" t="n">
        <v>6693</v>
      </c>
      <c r="L3" s="63" t="n">
        <v>63</v>
      </c>
      <c r="M3" s="63" t="n">
        <v>73</v>
      </c>
      <c r="N3" s="63" t="n">
        <v>4797</v>
      </c>
      <c r="O3" s="63" t="n">
        <v>22741</v>
      </c>
      <c r="P3" s="63" t="n">
        <v>124</v>
      </c>
      <c r="Q3" s="63" t="n">
        <v>803</v>
      </c>
      <c r="R3" s="63" t="n">
        <v>21</v>
      </c>
      <c r="S3" s="63" t="n">
        <v>15</v>
      </c>
      <c r="T3" s="63" t="n">
        <v>30</v>
      </c>
      <c r="U3" s="63" t="n">
        <v>20</v>
      </c>
      <c r="V3" s="63" t="n">
        <v>11000740</v>
      </c>
    </row>
    <row r="4">
      <c r="A4" s="113" t="n">
        <v>31</v>
      </c>
      <c r="B4" s="114" t="n">
        <v>46230</v>
      </c>
      <c r="C4" s="9" t="inlineStr">
        <is>
          <t>Jul</t>
        </is>
      </c>
      <c r="D4" s="9" t="inlineStr">
        <is>
          <t>Noida &amp; Ghaziabad</t>
        </is>
      </c>
      <c r="E4" s="63" t="n">
        <v>7922</v>
      </c>
      <c r="F4" s="63" t="n">
        <v>7433</v>
      </c>
      <c r="G4" s="63" t="n">
        <v>196</v>
      </c>
      <c r="H4" s="63" t="n">
        <v>90</v>
      </c>
      <c r="I4" s="63" t="n">
        <v>7147</v>
      </c>
      <c r="J4" s="63" t="n">
        <v>6473</v>
      </c>
      <c r="K4" s="63" t="n">
        <v>6298</v>
      </c>
      <c r="L4" s="63" t="n">
        <v>57</v>
      </c>
      <c r="M4" s="63" t="n">
        <v>70</v>
      </c>
      <c r="N4" s="63" t="n">
        <v>4475</v>
      </c>
      <c r="O4" s="63" t="n">
        <v>21259</v>
      </c>
      <c r="P4" s="63" t="n">
        <v>101</v>
      </c>
      <c r="Q4" s="63" t="n">
        <v>779</v>
      </c>
      <c r="R4" s="63" t="n">
        <v>17</v>
      </c>
      <c r="S4" s="63" t="n">
        <v>14</v>
      </c>
      <c r="T4" s="63" t="n">
        <v>27</v>
      </c>
      <c r="U4" s="63" t="n">
        <v>19</v>
      </c>
      <c r="V4" s="63" t="n">
        <v>9362570</v>
      </c>
    </row>
    <row r="5">
      <c r="A5" s="113" t="n">
        <v>31</v>
      </c>
      <c r="B5" s="114" t="n">
        <v>46230</v>
      </c>
      <c r="C5" s="9" t="inlineStr">
        <is>
          <t>Jul</t>
        </is>
      </c>
      <c r="D5" s="9" t="inlineStr">
        <is>
          <t>Mumbai</t>
        </is>
      </c>
      <c r="E5" s="63" t="n">
        <v>10209</v>
      </c>
      <c r="F5" s="63" t="n">
        <v>9545</v>
      </c>
      <c r="G5" s="63" t="n">
        <v>283</v>
      </c>
      <c r="H5" s="63" t="n">
        <v>95</v>
      </c>
      <c r="I5" s="63" t="n">
        <v>9167</v>
      </c>
      <c r="J5" s="63" t="n">
        <v>8292</v>
      </c>
      <c r="K5" s="63" t="n">
        <v>8090</v>
      </c>
      <c r="L5" s="63" t="n">
        <v>66</v>
      </c>
      <c r="M5" s="63" t="n">
        <v>78</v>
      </c>
      <c r="N5" s="63" t="n">
        <v>5686</v>
      </c>
      <c r="O5" s="63" t="n">
        <v>27069</v>
      </c>
      <c r="P5" s="63" t="n">
        <v>119</v>
      </c>
      <c r="Q5" s="63" t="n">
        <v>890</v>
      </c>
      <c r="R5" s="63" t="n">
        <v>20</v>
      </c>
      <c r="S5" s="63" t="n">
        <v>13</v>
      </c>
      <c r="T5" s="63" t="n">
        <v>29</v>
      </c>
      <c r="U5" s="63" t="n">
        <v>19</v>
      </c>
      <c r="V5" s="63" t="n">
        <v>13383820</v>
      </c>
    </row>
    <row r="6">
      <c r="A6" s="113" t="n">
        <v>31</v>
      </c>
      <c r="B6" s="114" t="n">
        <v>46230</v>
      </c>
      <c r="C6" s="9" t="inlineStr">
        <is>
          <t>Jul</t>
        </is>
      </c>
      <c r="D6" s="9" t="inlineStr">
        <is>
          <t>Bengaluru</t>
        </is>
      </c>
      <c r="E6" s="63" t="n">
        <v>8487</v>
      </c>
      <c r="F6" s="63" t="n">
        <v>7958</v>
      </c>
      <c r="G6" s="63" t="n">
        <v>197</v>
      </c>
      <c r="H6" s="63" t="n">
        <v>86</v>
      </c>
      <c r="I6" s="63" t="n">
        <v>7675</v>
      </c>
      <c r="J6" s="63" t="n">
        <v>6903</v>
      </c>
      <c r="K6" s="63" t="n">
        <v>6733</v>
      </c>
      <c r="L6" s="63" t="n">
        <v>55</v>
      </c>
      <c r="M6" s="63" t="n">
        <v>71</v>
      </c>
      <c r="N6" s="63" t="n">
        <v>4752</v>
      </c>
      <c r="O6" s="63" t="n">
        <v>22623</v>
      </c>
      <c r="P6" s="63" t="n">
        <v>96</v>
      </c>
      <c r="Q6" s="63" t="n">
        <v>773</v>
      </c>
      <c r="R6" s="63" t="n">
        <v>19</v>
      </c>
      <c r="S6" s="63" t="n">
        <v>12</v>
      </c>
      <c r="T6" s="63" t="n">
        <v>30</v>
      </c>
      <c r="U6" s="63" t="n">
        <v>19</v>
      </c>
      <c r="V6" s="63" t="n">
        <v>10821750</v>
      </c>
    </row>
    <row r="7">
      <c r="A7" s="113" t="n">
        <v>31</v>
      </c>
      <c r="B7" s="114" t="n">
        <v>46230</v>
      </c>
      <c r="C7" s="9" t="inlineStr">
        <is>
          <t>Jul</t>
        </is>
      </c>
      <c r="D7" s="9" t="inlineStr">
        <is>
          <t>Hyderabad</t>
        </is>
      </c>
      <c r="E7" s="63" t="n">
        <v>5992</v>
      </c>
      <c r="F7" s="63" t="n">
        <v>5665</v>
      </c>
      <c r="G7" s="63" t="n">
        <v>147</v>
      </c>
      <c r="H7" s="63" t="n">
        <v>57</v>
      </c>
      <c r="I7" s="63" t="n">
        <v>5461</v>
      </c>
      <c r="J7" s="63" t="n">
        <v>4909</v>
      </c>
      <c r="K7" s="63" t="n">
        <v>4791</v>
      </c>
      <c r="L7" s="63" t="n">
        <v>40</v>
      </c>
      <c r="M7" s="63" t="n">
        <v>46</v>
      </c>
      <c r="N7" s="63" t="n">
        <v>3397</v>
      </c>
      <c r="O7" s="63" t="n">
        <v>16138</v>
      </c>
      <c r="P7" s="63" t="n">
        <v>69</v>
      </c>
      <c r="Q7" s="63" t="n">
        <v>589</v>
      </c>
      <c r="R7" s="63" t="n">
        <v>15</v>
      </c>
      <c r="S7" s="63" t="n">
        <v>9</v>
      </c>
      <c r="T7" s="63" t="n">
        <v>21</v>
      </c>
      <c r="U7" s="63" t="n">
        <v>14</v>
      </c>
      <c r="V7" s="63" t="n">
        <v>7099300</v>
      </c>
    </row>
    <row r="8">
      <c r="A8" s="113" t="n">
        <v>31</v>
      </c>
      <c r="B8" s="114" t="n">
        <v>46230</v>
      </c>
      <c r="C8" s="9" t="inlineStr">
        <is>
          <t>Jul</t>
        </is>
      </c>
      <c r="D8" s="9" t="inlineStr">
        <is>
          <t>Pune</t>
        </is>
      </c>
      <c r="E8" s="63" t="n">
        <v>4376</v>
      </c>
      <c r="F8" s="63" t="n">
        <v>4099</v>
      </c>
      <c r="G8" s="63" t="n">
        <v>105</v>
      </c>
      <c r="H8" s="63" t="n">
        <v>47</v>
      </c>
      <c r="I8" s="63" t="n">
        <v>3947</v>
      </c>
      <c r="J8" s="63" t="n">
        <v>3570</v>
      </c>
      <c r="K8" s="63" t="n">
        <v>3480</v>
      </c>
      <c r="L8" s="63" t="n">
        <v>28</v>
      </c>
      <c r="M8" s="63" t="n">
        <v>35</v>
      </c>
      <c r="N8" s="63" t="n">
        <v>2455</v>
      </c>
      <c r="O8" s="63" t="n">
        <v>11663</v>
      </c>
      <c r="P8" s="63" t="n">
        <v>54</v>
      </c>
      <c r="Q8" s="63" t="n">
        <v>435</v>
      </c>
      <c r="R8" s="63" t="n">
        <v>10</v>
      </c>
      <c r="S8" s="63" t="n">
        <v>6</v>
      </c>
      <c r="T8" s="63" t="n">
        <v>14</v>
      </c>
      <c r="U8" s="63" t="n">
        <v>9</v>
      </c>
      <c r="V8" s="63" t="n">
        <v>5249510</v>
      </c>
    </row>
    <row r="9">
      <c r="A9" s="113" t="n">
        <v>31</v>
      </c>
      <c r="B9" s="114" t="n">
        <v>46230</v>
      </c>
      <c r="C9" s="9" t="inlineStr">
        <is>
          <t>Jul</t>
        </is>
      </c>
      <c r="D9" s="9" t="inlineStr">
        <is>
          <t>Rest of India</t>
        </is>
      </c>
      <c r="E9" s="63" t="n">
        <v>14708</v>
      </c>
      <c r="F9" s="63" t="n">
        <v>13903</v>
      </c>
      <c r="G9" s="63" t="n">
        <v>336</v>
      </c>
      <c r="H9" s="63" t="n">
        <v>146</v>
      </c>
      <c r="I9" s="63" t="n">
        <v>13421</v>
      </c>
      <c r="J9" s="63" t="n">
        <v>12208</v>
      </c>
      <c r="K9" s="63" t="n">
        <v>11877</v>
      </c>
      <c r="L9" s="63" t="n">
        <v>111</v>
      </c>
      <c r="M9" s="63" t="n">
        <v>122</v>
      </c>
      <c r="N9" s="63" t="n">
        <v>8375</v>
      </c>
      <c r="O9" s="63" t="n">
        <v>39703</v>
      </c>
      <c r="P9" s="63" t="n">
        <v>195</v>
      </c>
      <c r="Q9" s="63" t="n">
        <v>1592</v>
      </c>
      <c r="R9" s="63" t="n">
        <v>37</v>
      </c>
      <c r="S9" s="63" t="n">
        <v>24</v>
      </c>
      <c r="T9" s="63" t="n">
        <v>54</v>
      </c>
      <c r="U9" s="63" t="n">
        <v>36</v>
      </c>
      <c r="V9" s="63" t="n">
        <v>16642040</v>
      </c>
    </row>
    <row r="10">
      <c r="A10" s="113" t="n">
        <v>32</v>
      </c>
      <c r="B10" s="114" t="n">
        <v>46237</v>
      </c>
      <c r="C10" s="9" t="inlineStr">
        <is>
          <t>Aug</t>
        </is>
      </c>
      <c r="D10" s="9" t="inlineStr">
        <is>
          <t>Delhi</t>
        </is>
      </c>
      <c r="E10" s="63" t="n">
        <v>12479</v>
      </c>
      <c r="F10" s="63" t="n">
        <v>11809</v>
      </c>
      <c r="G10" s="63" t="n">
        <v>308</v>
      </c>
      <c r="H10" s="63" t="n">
        <v>127</v>
      </c>
      <c r="I10" s="63" t="n">
        <v>11374</v>
      </c>
      <c r="J10" s="63" t="n">
        <v>10264</v>
      </c>
      <c r="K10" s="63" t="n">
        <v>10012</v>
      </c>
      <c r="L10" s="63" t="n">
        <v>82</v>
      </c>
      <c r="M10" s="63" t="n">
        <v>104</v>
      </c>
      <c r="N10" s="63" t="n">
        <v>6985</v>
      </c>
      <c r="O10" s="63" t="n">
        <v>33113</v>
      </c>
      <c r="P10" s="63" t="n">
        <v>143</v>
      </c>
      <c r="Q10" s="63" t="n">
        <v>1212</v>
      </c>
      <c r="R10" s="63" t="n">
        <v>31</v>
      </c>
      <c r="S10" s="63" t="n">
        <v>21</v>
      </c>
      <c r="T10" s="63" t="n">
        <v>40</v>
      </c>
      <c r="U10" s="63" t="n">
        <v>26</v>
      </c>
      <c r="V10" s="63" t="n">
        <v>15241160</v>
      </c>
    </row>
    <row r="11">
      <c r="A11" s="113" t="n">
        <v>32</v>
      </c>
      <c r="B11" s="114" t="n">
        <v>46237</v>
      </c>
      <c r="C11" s="9" t="inlineStr">
        <is>
          <t>Aug</t>
        </is>
      </c>
      <c r="D11" s="9" t="inlineStr">
        <is>
          <t>Gurugram</t>
        </is>
      </c>
      <c r="E11" s="63" t="n">
        <v>8751</v>
      </c>
      <c r="F11" s="63" t="n">
        <v>8172</v>
      </c>
      <c r="G11" s="63" t="n">
        <v>239</v>
      </c>
      <c r="H11" s="63" t="n">
        <v>120</v>
      </c>
      <c r="I11" s="63" t="n">
        <v>7813</v>
      </c>
      <c r="J11" s="63" t="n">
        <v>7025</v>
      </c>
      <c r="K11" s="63" t="n">
        <v>6812</v>
      </c>
      <c r="L11" s="63" t="n">
        <v>76</v>
      </c>
      <c r="M11" s="63" t="n">
        <v>82</v>
      </c>
      <c r="N11" s="63" t="n">
        <v>4840</v>
      </c>
      <c r="O11" s="63" t="n">
        <v>22896</v>
      </c>
      <c r="P11" s="63" t="n">
        <v>120</v>
      </c>
      <c r="Q11" s="63" t="n">
        <v>808</v>
      </c>
      <c r="R11" s="63" t="n">
        <v>21</v>
      </c>
      <c r="S11" s="63" t="n">
        <v>15</v>
      </c>
      <c r="T11" s="63" t="n">
        <v>28</v>
      </c>
      <c r="U11" s="63" t="n">
        <v>18</v>
      </c>
      <c r="V11" s="63" t="n">
        <v>11094460</v>
      </c>
    </row>
    <row r="12">
      <c r="A12" s="113" t="n">
        <v>32</v>
      </c>
      <c r="B12" s="114" t="n">
        <v>46237</v>
      </c>
      <c r="C12" s="9" t="inlineStr">
        <is>
          <t>Aug</t>
        </is>
      </c>
      <c r="D12" s="9" t="inlineStr">
        <is>
          <t>Noida &amp; Ghaziabad</t>
        </is>
      </c>
      <c r="E12" s="63" t="n">
        <v>8022</v>
      </c>
      <c r="F12" s="63" t="n">
        <v>7578</v>
      </c>
      <c r="G12" s="63" t="n">
        <v>213</v>
      </c>
      <c r="H12" s="63" t="n">
        <v>93</v>
      </c>
      <c r="I12" s="63" t="n">
        <v>7272</v>
      </c>
      <c r="J12" s="63" t="n">
        <v>6531</v>
      </c>
      <c r="K12" s="63" t="n">
        <v>6361</v>
      </c>
      <c r="L12" s="63" t="n">
        <v>53</v>
      </c>
      <c r="M12" s="63" t="n">
        <v>73</v>
      </c>
      <c r="N12" s="63" t="n">
        <v>4438</v>
      </c>
      <c r="O12" s="63" t="n">
        <v>21038</v>
      </c>
      <c r="P12" s="63" t="n">
        <v>96</v>
      </c>
      <c r="Q12" s="63" t="n">
        <v>790</v>
      </c>
      <c r="R12" s="63" t="n">
        <v>16</v>
      </c>
      <c r="S12" s="63" t="n">
        <v>15</v>
      </c>
      <c r="T12" s="63" t="n">
        <v>26</v>
      </c>
      <c r="U12" s="63" t="n">
        <v>17</v>
      </c>
      <c r="V12" s="63" t="n">
        <v>9526320</v>
      </c>
    </row>
    <row r="13">
      <c r="A13" s="113" t="n">
        <v>32</v>
      </c>
      <c r="B13" s="114" t="n">
        <v>46237</v>
      </c>
      <c r="C13" s="9" t="inlineStr">
        <is>
          <t>Aug</t>
        </is>
      </c>
      <c r="D13" s="9" t="inlineStr">
        <is>
          <t>Mumbai</t>
        </is>
      </c>
      <c r="E13" s="63" t="n">
        <v>10408</v>
      </c>
      <c r="F13" s="63" t="n">
        <v>9816</v>
      </c>
      <c r="G13" s="63" t="n">
        <v>275</v>
      </c>
      <c r="H13" s="63" t="n">
        <v>117</v>
      </c>
      <c r="I13" s="63" t="n">
        <v>9424</v>
      </c>
      <c r="J13" s="63" t="n">
        <v>8458</v>
      </c>
      <c r="K13" s="63" t="n">
        <v>8224</v>
      </c>
      <c r="L13" s="63" t="n">
        <v>76</v>
      </c>
      <c r="M13" s="63" t="n">
        <v>95</v>
      </c>
      <c r="N13" s="63" t="n">
        <v>5848</v>
      </c>
      <c r="O13" s="63" t="n">
        <v>27781</v>
      </c>
      <c r="P13" s="63" t="n">
        <v>136</v>
      </c>
      <c r="Q13" s="63" t="n">
        <v>913</v>
      </c>
      <c r="R13" s="63" t="n">
        <v>23</v>
      </c>
      <c r="S13" s="63" t="n">
        <v>15</v>
      </c>
      <c r="T13" s="63" t="n">
        <v>29</v>
      </c>
      <c r="U13" s="63" t="n">
        <v>18</v>
      </c>
      <c r="V13" s="63" t="n">
        <v>13759040</v>
      </c>
    </row>
    <row r="14">
      <c r="A14" s="113" t="n">
        <v>32</v>
      </c>
      <c r="B14" s="114" t="n">
        <v>46237</v>
      </c>
      <c r="C14" s="9" t="inlineStr">
        <is>
          <t>Aug</t>
        </is>
      </c>
      <c r="D14" s="9" t="inlineStr">
        <is>
          <t>Bengaluru</t>
        </is>
      </c>
      <c r="E14" s="63" t="n">
        <v>8793</v>
      </c>
      <c r="F14" s="63" t="n">
        <v>8210</v>
      </c>
      <c r="G14" s="63" t="n">
        <v>229</v>
      </c>
      <c r="H14" s="63" t="n">
        <v>102</v>
      </c>
      <c r="I14" s="63" t="n">
        <v>7879</v>
      </c>
      <c r="J14" s="63" t="n">
        <v>7026</v>
      </c>
      <c r="K14" s="63" t="n">
        <v>6840</v>
      </c>
      <c r="L14" s="63" t="n">
        <v>64</v>
      </c>
      <c r="M14" s="63" t="n">
        <v>78</v>
      </c>
      <c r="N14" s="63" t="n">
        <v>4836</v>
      </c>
      <c r="O14" s="63" t="n">
        <v>22974</v>
      </c>
      <c r="P14" s="63" t="n">
        <v>104</v>
      </c>
      <c r="Q14" s="63" t="n">
        <v>792</v>
      </c>
      <c r="R14" s="63" t="n">
        <v>17</v>
      </c>
      <c r="S14" s="63" t="n">
        <v>12</v>
      </c>
      <c r="T14" s="63" t="n">
        <v>27</v>
      </c>
      <c r="U14" s="63" t="n">
        <v>18</v>
      </c>
      <c r="V14" s="63" t="n">
        <v>11109390</v>
      </c>
    </row>
    <row r="15">
      <c r="A15" s="113" t="n">
        <v>32</v>
      </c>
      <c r="B15" s="114" t="n">
        <v>46237</v>
      </c>
      <c r="C15" s="9" t="inlineStr">
        <is>
          <t>Aug</t>
        </is>
      </c>
      <c r="D15" s="9" t="inlineStr">
        <is>
          <t>Hyderabad</t>
        </is>
      </c>
      <c r="E15" s="63" t="n">
        <v>6018</v>
      </c>
      <c r="F15" s="63" t="n">
        <v>5722</v>
      </c>
      <c r="G15" s="63" t="n">
        <v>140</v>
      </c>
      <c r="H15" s="63" t="n">
        <v>66</v>
      </c>
      <c r="I15" s="63" t="n">
        <v>5516</v>
      </c>
      <c r="J15" s="63" t="n">
        <v>5020</v>
      </c>
      <c r="K15" s="63" t="n">
        <v>4890</v>
      </c>
      <c r="L15" s="63" t="n">
        <v>43</v>
      </c>
      <c r="M15" s="63" t="n">
        <v>50</v>
      </c>
      <c r="N15" s="63" t="n">
        <v>3364</v>
      </c>
      <c r="O15" s="63" t="n">
        <v>15947</v>
      </c>
      <c r="P15" s="63" t="n">
        <v>75</v>
      </c>
      <c r="Q15" s="63" t="n">
        <v>593</v>
      </c>
      <c r="R15" s="63" t="n">
        <v>15</v>
      </c>
      <c r="S15" s="63" t="n">
        <v>9</v>
      </c>
      <c r="T15" s="63" t="n">
        <v>21</v>
      </c>
      <c r="U15" s="63" t="n">
        <v>14</v>
      </c>
      <c r="V15" s="63" t="n">
        <v>7170800</v>
      </c>
    </row>
    <row r="16">
      <c r="A16" s="113" t="n">
        <v>32</v>
      </c>
      <c r="B16" s="114" t="n">
        <v>46237</v>
      </c>
      <c r="C16" s="9" t="inlineStr">
        <is>
          <t>Aug</t>
        </is>
      </c>
      <c r="D16" s="9" t="inlineStr">
        <is>
          <t>Pune</t>
        </is>
      </c>
      <c r="E16" s="63" t="n">
        <v>4383</v>
      </c>
      <c r="F16" s="63" t="n">
        <v>4187</v>
      </c>
      <c r="G16" s="63" t="n">
        <v>103</v>
      </c>
      <c r="H16" s="63" t="n">
        <v>47</v>
      </c>
      <c r="I16" s="63" t="n">
        <v>4037</v>
      </c>
      <c r="J16" s="63" t="n">
        <v>3633</v>
      </c>
      <c r="K16" s="63" t="n">
        <v>3543</v>
      </c>
      <c r="L16" s="63" t="n">
        <v>26</v>
      </c>
      <c r="M16" s="63" t="n">
        <v>39</v>
      </c>
      <c r="N16" s="63" t="n">
        <v>2478</v>
      </c>
      <c r="O16" s="63" t="n">
        <v>11747</v>
      </c>
      <c r="P16" s="63" t="n">
        <v>53</v>
      </c>
      <c r="Q16" s="63" t="n">
        <v>443</v>
      </c>
      <c r="R16" s="63" t="n">
        <v>11</v>
      </c>
      <c r="S16" s="63" t="n">
        <v>7</v>
      </c>
      <c r="T16" s="63" t="n">
        <v>15</v>
      </c>
      <c r="U16" s="63" t="n">
        <v>10</v>
      </c>
      <c r="V16" s="63" t="n">
        <v>5369210</v>
      </c>
    </row>
    <row r="17">
      <c r="A17" s="113" t="n">
        <v>32</v>
      </c>
      <c r="B17" s="114" t="n">
        <v>46237</v>
      </c>
      <c r="C17" s="9" t="inlineStr">
        <is>
          <t>Aug</t>
        </is>
      </c>
      <c r="D17" s="9" t="inlineStr">
        <is>
          <t>Rest of India</t>
        </is>
      </c>
      <c r="E17" s="63" t="n">
        <v>14246</v>
      </c>
      <c r="F17" s="63" t="n">
        <v>13512</v>
      </c>
      <c r="G17" s="63" t="n">
        <v>356</v>
      </c>
      <c r="H17" s="63" t="n">
        <v>156</v>
      </c>
      <c r="I17" s="63" t="n">
        <v>13000</v>
      </c>
      <c r="J17" s="63" t="n">
        <v>11793</v>
      </c>
      <c r="K17" s="63" t="n">
        <v>11441</v>
      </c>
      <c r="L17" s="63" t="n">
        <v>104</v>
      </c>
      <c r="M17" s="63" t="n">
        <v>142</v>
      </c>
      <c r="N17" s="63" t="n">
        <v>7995</v>
      </c>
      <c r="O17" s="63" t="n">
        <v>37820</v>
      </c>
      <c r="P17" s="63" t="n">
        <v>211</v>
      </c>
      <c r="Q17" s="63" t="n">
        <v>1539</v>
      </c>
      <c r="R17" s="63" t="n">
        <v>38</v>
      </c>
      <c r="S17" s="63" t="n">
        <v>27</v>
      </c>
      <c r="T17" s="63" t="n">
        <v>52</v>
      </c>
      <c r="U17" s="63" t="n">
        <v>34</v>
      </c>
      <c r="V17" s="63" t="n">
        <v>16120000</v>
      </c>
    </row>
    <row r="18">
      <c r="A18" s="113" t="n">
        <v>33</v>
      </c>
      <c r="B18" s="114" t="n">
        <v>46244</v>
      </c>
      <c r="C18" s="9" t="inlineStr">
        <is>
          <t>Aug</t>
        </is>
      </c>
      <c r="D18" s="9" t="inlineStr">
        <is>
          <t>Delhi</t>
        </is>
      </c>
      <c r="E18" s="63" t="n">
        <v>12766</v>
      </c>
      <c r="F18" s="63" t="n">
        <v>12152</v>
      </c>
      <c r="G18" s="63" t="n">
        <v>288</v>
      </c>
      <c r="H18" s="63" t="n">
        <v>118</v>
      </c>
      <c r="I18" s="63" t="n">
        <v>11746</v>
      </c>
      <c r="J18" s="63" t="n">
        <v>10727</v>
      </c>
      <c r="K18" s="63" t="n">
        <v>10486</v>
      </c>
      <c r="L18" s="63" t="n">
        <v>79</v>
      </c>
      <c r="M18" s="63" t="n">
        <v>102</v>
      </c>
      <c r="N18" s="63" t="n">
        <v>7214</v>
      </c>
      <c r="O18" s="63" t="n">
        <v>34342</v>
      </c>
      <c r="P18" s="63" t="n">
        <v>129</v>
      </c>
      <c r="Q18" s="63" t="n">
        <v>1245</v>
      </c>
      <c r="R18" s="63" t="n">
        <v>32</v>
      </c>
      <c r="S18" s="63" t="n">
        <v>19</v>
      </c>
      <c r="T18" s="63" t="n">
        <v>49</v>
      </c>
      <c r="U18" s="63" t="n">
        <v>33</v>
      </c>
      <c r="V18" s="63" t="n">
        <v>15739640</v>
      </c>
    </row>
    <row r="19">
      <c r="A19" s="113" t="n">
        <v>33</v>
      </c>
      <c r="B19" s="114" t="n">
        <v>46244</v>
      </c>
      <c r="C19" s="9" t="inlineStr">
        <is>
          <t>Aug</t>
        </is>
      </c>
      <c r="D19" s="9" t="inlineStr">
        <is>
          <t>Gurugram</t>
        </is>
      </c>
      <c r="E19" s="63" t="n">
        <v>8663</v>
      </c>
      <c r="F19" s="63" t="n">
        <v>8129</v>
      </c>
      <c r="G19" s="63" t="n">
        <v>220</v>
      </c>
      <c r="H19" s="63" t="n">
        <v>102</v>
      </c>
      <c r="I19" s="63" t="n">
        <v>7807</v>
      </c>
      <c r="J19" s="63" t="n">
        <v>7110</v>
      </c>
      <c r="K19" s="63" t="n">
        <v>6916</v>
      </c>
      <c r="L19" s="63" t="n">
        <v>61</v>
      </c>
      <c r="M19" s="63" t="n">
        <v>75</v>
      </c>
      <c r="N19" s="63" t="n">
        <v>4853</v>
      </c>
      <c r="O19" s="63" t="n">
        <v>23054</v>
      </c>
      <c r="P19" s="63" t="n">
        <v>114</v>
      </c>
      <c r="Q19" s="63" t="n">
        <v>803</v>
      </c>
      <c r="R19" s="63" t="n">
        <v>18</v>
      </c>
      <c r="S19" s="63" t="n">
        <v>13</v>
      </c>
      <c r="T19" s="63" t="n">
        <v>30</v>
      </c>
      <c r="U19" s="63" t="n">
        <v>19</v>
      </c>
      <c r="V19" s="63" t="n">
        <v>11085940</v>
      </c>
    </row>
    <row r="20">
      <c r="A20" s="113" t="n">
        <v>33</v>
      </c>
      <c r="B20" s="114" t="n">
        <v>46244</v>
      </c>
      <c r="C20" s="9" t="inlineStr">
        <is>
          <t>Aug</t>
        </is>
      </c>
      <c r="D20" s="9" t="inlineStr">
        <is>
          <t>Noida &amp; Ghaziabad</t>
        </is>
      </c>
      <c r="E20" s="63" t="n">
        <v>8119</v>
      </c>
      <c r="F20" s="63" t="n">
        <v>7654</v>
      </c>
      <c r="G20" s="63" t="n">
        <v>211</v>
      </c>
      <c r="H20" s="63" t="n">
        <v>100</v>
      </c>
      <c r="I20" s="63" t="n">
        <v>7343</v>
      </c>
      <c r="J20" s="63" t="n">
        <v>6660</v>
      </c>
      <c r="K20" s="63" t="n">
        <v>6495</v>
      </c>
      <c r="L20" s="63" t="n">
        <v>60</v>
      </c>
      <c r="M20" s="63" t="n">
        <v>63</v>
      </c>
      <c r="N20" s="63" t="n">
        <v>4549</v>
      </c>
      <c r="O20" s="63" t="n">
        <v>21656</v>
      </c>
      <c r="P20" s="63" t="n">
        <v>91</v>
      </c>
      <c r="Q20" s="63" t="n">
        <v>794</v>
      </c>
      <c r="R20" s="63" t="n">
        <v>21</v>
      </c>
      <c r="S20" s="63" t="n">
        <v>12</v>
      </c>
      <c r="T20" s="63" t="n">
        <v>28</v>
      </c>
      <c r="U20" s="63" t="n">
        <v>18</v>
      </c>
      <c r="V20" s="63" t="n">
        <v>9619330</v>
      </c>
    </row>
    <row r="21">
      <c r="A21" s="113" t="n">
        <v>33</v>
      </c>
      <c r="B21" s="114" t="n">
        <v>46244</v>
      </c>
      <c r="C21" s="9" t="inlineStr">
        <is>
          <t>Aug</t>
        </is>
      </c>
      <c r="D21" s="9" t="inlineStr">
        <is>
          <t>Mumbai</t>
        </is>
      </c>
      <c r="E21" s="63" t="n">
        <v>10495</v>
      </c>
      <c r="F21" s="63" t="n">
        <v>9810</v>
      </c>
      <c r="G21" s="63" t="n">
        <v>277</v>
      </c>
      <c r="H21" s="63" t="n">
        <v>104</v>
      </c>
      <c r="I21" s="63" t="n">
        <v>9429</v>
      </c>
      <c r="J21" s="63" t="n">
        <v>8455</v>
      </c>
      <c r="K21" s="63" t="n">
        <v>8251</v>
      </c>
      <c r="L21" s="63" t="n">
        <v>64</v>
      </c>
      <c r="M21" s="63" t="n">
        <v>83</v>
      </c>
      <c r="N21" s="63" t="n">
        <v>5852</v>
      </c>
      <c r="O21" s="63" t="n">
        <v>27917</v>
      </c>
      <c r="P21" s="63" t="n">
        <v>121</v>
      </c>
      <c r="Q21" s="63" t="n">
        <v>909</v>
      </c>
      <c r="R21" s="63" t="n">
        <v>26</v>
      </c>
      <c r="S21" s="63" t="n">
        <v>13</v>
      </c>
      <c r="T21" s="63" t="n">
        <v>32</v>
      </c>
      <c r="U21" s="63" t="n">
        <v>22</v>
      </c>
      <c r="V21" s="63" t="n">
        <v>13766340</v>
      </c>
    </row>
    <row r="22">
      <c r="A22" s="113" t="n">
        <v>33</v>
      </c>
      <c r="B22" s="114" t="n">
        <v>46244</v>
      </c>
      <c r="C22" s="9" t="inlineStr">
        <is>
          <t>Aug</t>
        </is>
      </c>
      <c r="D22" s="9" t="inlineStr">
        <is>
          <t>Bengaluru</t>
        </is>
      </c>
      <c r="E22" s="63" t="n">
        <v>8868</v>
      </c>
      <c r="F22" s="63" t="n">
        <v>8186</v>
      </c>
      <c r="G22" s="63" t="n">
        <v>212</v>
      </c>
      <c r="H22" s="63" t="n">
        <v>88</v>
      </c>
      <c r="I22" s="63" t="n">
        <v>7886</v>
      </c>
      <c r="J22" s="63" t="n">
        <v>7105</v>
      </c>
      <c r="K22" s="63" t="n">
        <v>6920</v>
      </c>
      <c r="L22" s="63" t="n">
        <v>58</v>
      </c>
      <c r="M22" s="63" t="n">
        <v>76</v>
      </c>
      <c r="N22" s="63" t="n">
        <v>5039</v>
      </c>
      <c r="O22" s="63" t="n">
        <v>24039</v>
      </c>
      <c r="P22" s="63" t="n">
        <v>108</v>
      </c>
      <c r="Q22" s="63" t="n">
        <v>789</v>
      </c>
      <c r="R22" s="63" t="n">
        <v>20</v>
      </c>
      <c r="S22" s="63" t="n">
        <v>12</v>
      </c>
      <c r="T22" s="63" t="n">
        <v>29</v>
      </c>
      <c r="U22" s="63" t="n">
        <v>20</v>
      </c>
      <c r="V22" s="63" t="n">
        <v>11119260</v>
      </c>
    </row>
    <row r="23">
      <c r="A23" s="113" t="n">
        <v>33</v>
      </c>
      <c r="B23" s="114" t="n">
        <v>46244</v>
      </c>
      <c r="C23" s="9" t="inlineStr">
        <is>
          <t>Aug</t>
        </is>
      </c>
      <c r="D23" s="9" t="inlineStr">
        <is>
          <t>Hyderabad</t>
        </is>
      </c>
      <c r="E23" s="63" t="n">
        <v>5845</v>
      </c>
      <c r="F23" s="63" t="n">
        <v>5459</v>
      </c>
      <c r="G23" s="63" t="n">
        <v>130</v>
      </c>
      <c r="H23" s="63" t="n">
        <v>55</v>
      </c>
      <c r="I23" s="63" t="n">
        <v>5274</v>
      </c>
      <c r="J23" s="63" t="n">
        <v>4814</v>
      </c>
      <c r="K23" s="63" t="n">
        <v>4696</v>
      </c>
      <c r="L23" s="63" t="n">
        <v>39</v>
      </c>
      <c r="M23" s="63" t="n">
        <v>44</v>
      </c>
      <c r="N23" s="63" t="n">
        <v>3292</v>
      </c>
      <c r="O23" s="63" t="n">
        <v>15672</v>
      </c>
      <c r="P23" s="63" t="n">
        <v>69</v>
      </c>
      <c r="Q23" s="63" t="n">
        <v>565</v>
      </c>
      <c r="R23" s="63" t="n">
        <v>13</v>
      </c>
      <c r="S23" s="63" t="n">
        <v>8</v>
      </c>
      <c r="T23" s="63" t="n">
        <v>23</v>
      </c>
      <c r="U23" s="63" t="n">
        <v>15</v>
      </c>
      <c r="V23" s="63" t="n">
        <v>6856200</v>
      </c>
    </row>
    <row r="24">
      <c r="A24" s="113" t="n">
        <v>33</v>
      </c>
      <c r="B24" s="114" t="n">
        <v>46244</v>
      </c>
      <c r="C24" s="9" t="inlineStr">
        <is>
          <t>Aug</t>
        </is>
      </c>
      <c r="D24" s="9" t="inlineStr">
        <is>
          <t>Pune</t>
        </is>
      </c>
      <c r="E24" s="63" t="n">
        <v>4492</v>
      </c>
      <c r="F24" s="63" t="n">
        <v>4303</v>
      </c>
      <c r="G24" s="63" t="n">
        <v>98</v>
      </c>
      <c r="H24" s="63" t="n">
        <v>47</v>
      </c>
      <c r="I24" s="63" t="n">
        <v>4158</v>
      </c>
      <c r="J24" s="63" t="n">
        <v>3741</v>
      </c>
      <c r="K24" s="63" t="n">
        <v>3652</v>
      </c>
      <c r="L24" s="63" t="n">
        <v>27</v>
      </c>
      <c r="M24" s="63" t="n">
        <v>35</v>
      </c>
      <c r="N24" s="63" t="n">
        <v>2571</v>
      </c>
      <c r="O24" s="63" t="n">
        <v>12239</v>
      </c>
      <c r="P24" s="63" t="n">
        <v>54</v>
      </c>
      <c r="Q24" s="63" t="n">
        <v>454</v>
      </c>
      <c r="R24" s="63" t="n">
        <v>10</v>
      </c>
      <c r="S24" s="63" t="n">
        <v>6</v>
      </c>
      <c r="T24" s="63" t="n">
        <v>16</v>
      </c>
      <c r="U24" s="63" t="n">
        <v>11</v>
      </c>
      <c r="V24" s="63" t="n">
        <v>5530140</v>
      </c>
    </row>
    <row r="25">
      <c r="A25" s="113" t="n">
        <v>33</v>
      </c>
      <c r="B25" s="114" t="n">
        <v>46244</v>
      </c>
      <c r="C25" s="9" t="inlineStr">
        <is>
          <t>Aug</t>
        </is>
      </c>
      <c r="D25" s="9" t="inlineStr">
        <is>
          <t>Rest of India</t>
        </is>
      </c>
      <c r="E25" s="63" t="n">
        <v>14752</v>
      </c>
      <c r="F25" s="63" t="n">
        <v>13793</v>
      </c>
      <c r="G25" s="63" t="n">
        <v>301</v>
      </c>
      <c r="H25" s="63" t="n">
        <v>150</v>
      </c>
      <c r="I25" s="63" t="n">
        <v>13342</v>
      </c>
      <c r="J25" s="63" t="n">
        <v>12076</v>
      </c>
      <c r="K25" s="63" t="n">
        <v>11754</v>
      </c>
      <c r="L25" s="63" t="n">
        <v>108</v>
      </c>
      <c r="M25" s="63" t="n">
        <v>125</v>
      </c>
      <c r="N25" s="63" t="n">
        <v>8161</v>
      </c>
      <c r="O25" s="63" t="n">
        <v>38769</v>
      </c>
      <c r="P25" s="63" t="n">
        <v>186</v>
      </c>
      <c r="Q25" s="63" t="n">
        <v>1571</v>
      </c>
      <c r="R25" s="63" t="n">
        <v>35</v>
      </c>
      <c r="S25" s="63" t="n">
        <v>24</v>
      </c>
      <c r="T25" s="63" t="n">
        <v>55</v>
      </c>
      <c r="U25" s="63" t="n">
        <v>35</v>
      </c>
      <c r="V25" s="63" t="n">
        <v>16544080</v>
      </c>
    </row>
    <row r="26">
      <c r="A26" s="113" t="n">
        <v>34</v>
      </c>
      <c r="B26" s="114" t="n">
        <v>46251</v>
      </c>
      <c r="C26" s="9" t="inlineStr">
        <is>
          <t>Aug</t>
        </is>
      </c>
      <c r="D26" s="9" t="inlineStr">
        <is>
          <t>Delhi</t>
        </is>
      </c>
      <c r="E26" s="63" t="n">
        <v>12716</v>
      </c>
      <c r="F26" s="63" t="n">
        <v>12076</v>
      </c>
      <c r="G26" s="63" t="n">
        <v>299</v>
      </c>
      <c r="H26" s="63" t="n">
        <v>128</v>
      </c>
      <c r="I26" s="63" t="n">
        <v>11649</v>
      </c>
      <c r="J26" s="63" t="n">
        <v>10556</v>
      </c>
      <c r="K26" s="63" t="n">
        <v>10273</v>
      </c>
      <c r="L26" s="63" t="n">
        <v>86</v>
      </c>
      <c r="M26" s="63" t="n">
        <v>116</v>
      </c>
      <c r="N26" s="63" t="n">
        <v>7215</v>
      </c>
      <c r="O26" s="63" t="n">
        <v>34275</v>
      </c>
      <c r="P26" s="63" t="n">
        <v>166</v>
      </c>
      <c r="Q26" s="63" t="n">
        <v>1230</v>
      </c>
      <c r="R26" s="63" t="n">
        <v>29</v>
      </c>
      <c r="S26" s="63" t="n">
        <v>23</v>
      </c>
      <c r="T26" s="63" t="n">
        <v>42</v>
      </c>
      <c r="U26" s="63" t="n">
        <v>28</v>
      </c>
      <c r="V26" s="63" t="n">
        <v>15609660</v>
      </c>
    </row>
    <row r="27">
      <c r="A27" s="113" t="n">
        <v>34</v>
      </c>
      <c r="B27" s="114" t="n">
        <v>46251</v>
      </c>
      <c r="C27" s="9" t="inlineStr">
        <is>
          <t>Aug</t>
        </is>
      </c>
      <c r="D27" s="9" t="inlineStr">
        <is>
          <t>Gurugram</t>
        </is>
      </c>
      <c r="E27" s="63" t="n">
        <v>8895</v>
      </c>
      <c r="F27" s="63" t="n">
        <v>8386</v>
      </c>
      <c r="G27" s="63" t="n">
        <v>231</v>
      </c>
      <c r="H27" s="63" t="n">
        <v>120</v>
      </c>
      <c r="I27" s="63" t="n">
        <v>8035</v>
      </c>
      <c r="J27" s="63" t="n">
        <v>7170</v>
      </c>
      <c r="K27" s="63" t="n">
        <v>6963</v>
      </c>
      <c r="L27" s="63" t="n">
        <v>70</v>
      </c>
      <c r="M27" s="63" t="n">
        <v>82</v>
      </c>
      <c r="N27" s="63" t="n">
        <v>4983</v>
      </c>
      <c r="O27" s="63" t="n">
        <v>23622</v>
      </c>
      <c r="P27" s="63" t="n">
        <v>121</v>
      </c>
      <c r="Q27" s="63" t="n">
        <v>824</v>
      </c>
      <c r="R27" s="63" t="n">
        <v>16</v>
      </c>
      <c r="S27" s="63" t="n">
        <v>16</v>
      </c>
      <c r="T27" s="63" t="n">
        <v>28</v>
      </c>
      <c r="U27" s="63" t="n">
        <v>18</v>
      </c>
      <c r="V27" s="63" t="n">
        <v>11409700</v>
      </c>
    </row>
    <row r="28">
      <c r="A28" s="113" t="n">
        <v>34</v>
      </c>
      <c r="B28" s="114" t="n">
        <v>46251</v>
      </c>
      <c r="C28" s="9" t="inlineStr">
        <is>
          <t>Aug</t>
        </is>
      </c>
      <c r="D28" s="9" t="inlineStr">
        <is>
          <t>Noida &amp; Ghaziabad</t>
        </is>
      </c>
      <c r="E28" s="63" t="n">
        <v>8148</v>
      </c>
      <c r="F28" s="63" t="n">
        <v>7655</v>
      </c>
      <c r="G28" s="63" t="n">
        <v>199</v>
      </c>
      <c r="H28" s="63" t="n">
        <v>95</v>
      </c>
      <c r="I28" s="63" t="n">
        <v>7361</v>
      </c>
      <c r="J28" s="63" t="n">
        <v>6643</v>
      </c>
      <c r="K28" s="63" t="n">
        <v>6456</v>
      </c>
      <c r="L28" s="63" t="n">
        <v>58</v>
      </c>
      <c r="M28" s="63" t="n">
        <v>74</v>
      </c>
      <c r="N28" s="63" t="n">
        <v>4586</v>
      </c>
      <c r="O28" s="63" t="n">
        <v>21786</v>
      </c>
      <c r="P28" s="63" t="n">
        <v>112</v>
      </c>
      <c r="Q28" s="63" t="n">
        <v>793</v>
      </c>
      <c r="R28" s="63" t="n">
        <v>17</v>
      </c>
      <c r="S28" s="63" t="n">
        <v>15</v>
      </c>
      <c r="T28" s="63" t="n">
        <v>28</v>
      </c>
      <c r="U28" s="63" t="n">
        <v>18</v>
      </c>
      <c r="V28" s="63" t="n">
        <v>9642910</v>
      </c>
    </row>
    <row r="29">
      <c r="A29" s="113" t="n">
        <v>34</v>
      </c>
      <c r="B29" s="114" t="n">
        <v>46251</v>
      </c>
      <c r="C29" s="9" t="inlineStr">
        <is>
          <t>Aug</t>
        </is>
      </c>
      <c r="D29" s="9" t="inlineStr">
        <is>
          <t>Mumbai</t>
        </is>
      </c>
      <c r="E29" s="63" t="n">
        <v>10288</v>
      </c>
      <c r="F29" s="63" t="n">
        <v>9684</v>
      </c>
      <c r="G29" s="63" t="n">
        <v>269</v>
      </c>
      <c r="H29" s="63" t="n">
        <v>109</v>
      </c>
      <c r="I29" s="63" t="n">
        <v>9306</v>
      </c>
      <c r="J29" s="63" t="n">
        <v>8351</v>
      </c>
      <c r="K29" s="63" t="n">
        <v>8137</v>
      </c>
      <c r="L29" s="63" t="n">
        <v>69</v>
      </c>
      <c r="M29" s="63" t="n">
        <v>86</v>
      </c>
      <c r="N29" s="63" t="n">
        <v>5902</v>
      </c>
      <c r="O29" s="63" t="n">
        <v>28097</v>
      </c>
      <c r="P29" s="63" t="n">
        <v>125</v>
      </c>
      <c r="Q29" s="63" t="n">
        <v>893</v>
      </c>
      <c r="R29" s="63" t="n">
        <v>21</v>
      </c>
      <c r="S29" s="63" t="n">
        <v>15</v>
      </c>
      <c r="T29" s="63" t="n">
        <v>29</v>
      </c>
      <c r="U29" s="63" t="n">
        <v>18</v>
      </c>
      <c r="V29" s="63" t="n">
        <v>13586760</v>
      </c>
    </row>
    <row r="30">
      <c r="A30" s="113" t="n">
        <v>34</v>
      </c>
      <c r="B30" s="114" t="n">
        <v>46251</v>
      </c>
      <c r="C30" s="9" t="inlineStr">
        <is>
          <t>Aug</t>
        </is>
      </c>
      <c r="D30" s="9" t="inlineStr">
        <is>
          <t>Bengaluru</t>
        </is>
      </c>
      <c r="E30" s="63" t="n">
        <v>8970</v>
      </c>
      <c r="F30" s="63" t="n">
        <v>8312</v>
      </c>
      <c r="G30" s="63" t="n">
        <v>212</v>
      </c>
      <c r="H30" s="63" t="n">
        <v>110</v>
      </c>
      <c r="I30" s="63" t="n">
        <v>7990</v>
      </c>
      <c r="J30" s="63" t="n">
        <v>7194</v>
      </c>
      <c r="K30" s="63" t="n">
        <v>7004</v>
      </c>
      <c r="L30" s="63" t="n">
        <v>60</v>
      </c>
      <c r="M30" s="63" t="n">
        <v>80</v>
      </c>
      <c r="N30" s="63" t="n">
        <v>5076</v>
      </c>
      <c r="O30" s="63" t="n">
        <v>24165</v>
      </c>
      <c r="P30" s="63" t="n">
        <v>108</v>
      </c>
      <c r="Q30" s="63" t="n">
        <v>796</v>
      </c>
      <c r="R30" s="63" t="n">
        <v>18</v>
      </c>
      <c r="S30" s="63" t="n">
        <v>13</v>
      </c>
      <c r="T30" s="63" t="n">
        <v>25</v>
      </c>
      <c r="U30" s="63" t="n">
        <v>15</v>
      </c>
      <c r="V30" s="63" t="n">
        <v>11265900</v>
      </c>
    </row>
    <row r="31">
      <c r="A31" s="113" t="n">
        <v>34</v>
      </c>
      <c r="B31" s="114" t="n">
        <v>46251</v>
      </c>
      <c r="C31" s="9" t="inlineStr">
        <is>
          <t>Aug</t>
        </is>
      </c>
      <c r="D31" s="9" t="inlineStr">
        <is>
          <t>Hyderabad</t>
        </is>
      </c>
      <c r="E31" s="63" t="n">
        <v>6095</v>
      </c>
      <c r="F31" s="63" t="n">
        <v>5769</v>
      </c>
      <c r="G31" s="63" t="n">
        <v>145</v>
      </c>
      <c r="H31" s="63" t="n">
        <v>65</v>
      </c>
      <c r="I31" s="63" t="n">
        <v>5559</v>
      </c>
      <c r="J31" s="63" t="n">
        <v>5080</v>
      </c>
      <c r="K31" s="63" t="n">
        <v>4946</v>
      </c>
      <c r="L31" s="63" t="n">
        <v>42</v>
      </c>
      <c r="M31" s="63" t="n">
        <v>51</v>
      </c>
      <c r="N31" s="63" t="n">
        <v>3417</v>
      </c>
      <c r="O31" s="63" t="n">
        <v>16233</v>
      </c>
      <c r="P31" s="63" t="n">
        <v>79</v>
      </c>
      <c r="Q31" s="63" t="n">
        <v>593</v>
      </c>
      <c r="R31" s="63" t="n">
        <v>11</v>
      </c>
      <c r="S31" s="63" t="n">
        <v>11</v>
      </c>
      <c r="T31" s="63" t="n">
        <v>19</v>
      </c>
      <c r="U31" s="63" t="n">
        <v>13</v>
      </c>
      <c r="V31" s="63" t="n">
        <v>7226700</v>
      </c>
    </row>
    <row r="32">
      <c r="A32" s="113" t="n">
        <v>34</v>
      </c>
      <c r="B32" s="114" t="n">
        <v>46251</v>
      </c>
      <c r="C32" s="9" t="inlineStr">
        <is>
          <t>Aug</t>
        </is>
      </c>
      <c r="D32" s="9" t="inlineStr">
        <is>
          <t>Pune</t>
        </is>
      </c>
      <c r="E32" s="63" t="n">
        <v>4479</v>
      </c>
      <c r="F32" s="63" t="n">
        <v>4218</v>
      </c>
      <c r="G32" s="63" t="n">
        <v>110</v>
      </c>
      <c r="H32" s="63" t="n">
        <v>51</v>
      </c>
      <c r="I32" s="63" t="n">
        <v>4057</v>
      </c>
      <c r="J32" s="63" t="n">
        <v>3662</v>
      </c>
      <c r="K32" s="63" t="n">
        <v>3571</v>
      </c>
      <c r="L32" s="63" t="n">
        <v>27</v>
      </c>
      <c r="M32" s="63" t="n">
        <v>37</v>
      </c>
      <c r="N32" s="63" t="n">
        <v>2558</v>
      </c>
      <c r="O32" s="63" t="n">
        <v>12152</v>
      </c>
      <c r="P32" s="63" t="n">
        <v>55</v>
      </c>
      <c r="Q32" s="63" t="n">
        <v>441</v>
      </c>
      <c r="R32" s="63" t="n">
        <v>10</v>
      </c>
      <c r="S32" s="63" t="n">
        <v>7</v>
      </c>
      <c r="T32" s="63" t="n">
        <v>15</v>
      </c>
      <c r="U32" s="63" t="n">
        <v>10</v>
      </c>
      <c r="V32" s="63" t="n">
        <v>5395810</v>
      </c>
    </row>
    <row r="33">
      <c r="A33" s="113" t="n">
        <v>34</v>
      </c>
      <c r="B33" s="114" t="n">
        <v>46251</v>
      </c>
      <c r="C33" s="9" t="inlineStr">
        <is>
          <t>Aug</t>
        </is>
      </c>
      <c r="D33" s="9" t="inlineStr">
        <is>
          <t>Rest of India</t>
        </is>
      </c>
      <c r="E33" s="63" t="n">
        <v>14909</v>
      </c>
      <c r="F33" s="63" t="n">
        <v>14079</v>
      </c>
      <c r="G33" s="63" t="n">
        <v>360</v>
      </c>
      <c r="H33" s="63" t="n">
        <v>164</v>
      </c>
      <c r="I33" s="63" t="n">
        <v>13555</v>
      </c>
      <c r="J33" s="63" t="n">
        <v>12240</v>
      </c>
      <c r="K33" s="63" t="n">
        <v>11881</v>
      </c>
      <c r="L33" s="63" t="n">
        <v>115</v>
      </c>
      <c r="M33" s="63" t="n">
        <v>149</v>
      </c>
      <c r="N33" s="63" t="n">
        <v>8458</v>
      </c>
      <c r="O33" s="63" t="n">
        <v>40096</v>
      </c>
      <c r="P33" s="63" t="n">
        <v>204</v>
      </c>
      <c r="Q33" s="63" t="n">
        <v>1590</v>
      </c>
      <c r="R33" s="63" t="n">
        <v>38</v>
      </c>
      <c r="S33" s="63" t="n">
        <v>29</v>
      </c>
      <c r="T33" s="63" t="n">
        <v>58</v>
      </c>
      <c r="U33" s="63" t="n">
        <v>36</v>
      </c>
      <c r="V33" s="63" t="n">
        <v>16808200</v>
      </c>
    </row>
    <row r="34">
      <c r="A34" s="113" t="n">
        <v>35</v>
      </c>
      <c r="B34" s="114" t="n">
        <v>46258</v>
      </c>
      <c r="C34" s="9" t="inlineStr">
        <is>
          <t>Aug</t>
        </is>
      </c>
      <c r="D34" s="9" t="inlineStr">
        <is>
          <t>Delhi</t>
        </is>
      </c>
      <c r="E34" s="63" t="n">
        <v>12712</v>
      </c>
      <c r="F34" s="63" t="n">
        <v>12062</v>
      </c>
      <c r="G34" s="63" t="n">
        <v>330</v>
      </c>
      <c r="H34" s="63" t="n">
        <v>113</v>
      </c>
      <c r="I34" s="63" t="n">
        <v>11619</v>
      </c>
      <c r="J34" s="63" t="n">
        <v>10526</v>
      </c>
      <c r="K34" s="63" t="n">
        <v>10251</v>
      </c>
      <c r="L34" s="63" t="n">
        <v>94</v>
      </c>
      <c r="M34" s="63" t="n">
        <v>115</v>
      </c>
      <c r="N34" s="63" t="n">
        <v>7113</v>
      </c>
      <c r="O34" s="63" t="n">
        <v>33720</v>
      </c>
      <c r="P34" s="63" t="n">
        <v>148</v>
      </c>
      <c r="Q34" s="63" t="n">
        <v>1223</v>
      </c>
      <c r="R34" s="63" t="n">
        <v>31</v>
      </c>
      <c r="S34" s="63" t="n">
        <v>23</v>
      </c>
      <c r="T34" s="63" t="n">
        <v>42</v>
      </c>
      <c r="U34" s="63" t="n">
        <v>26</v>
      </c>
      <c r="V34" s="63" t="n">
        <v>15569460</v>
      </c>
    </row>
    <row r="35">
      <c r="A35" s="113" t="n">
        <v>35</v>
      </c>
      <c r="B35" s="114" t="n">
        <v>46258</v>
      </c>
      <c r="C35" s="9" t="inlineStr">
        <is>
          <t>Aug</t>
        </is>
      </c>
      <c r="D35" s="9" t="inlineStr">
        <is>
          <t>Gurugram</t>
        </is>
      </c>
      <c r="E35" s="63" t="n">
        <v>8874</v>
      </c>
      <c r="F35" s="63" t="n">
        <v>8404</v>
      </c>
      <c r="G35" s="63" t="n">
        <v>238</v>
      </c>
      <c r="H35" s="63" t="n">
        <v>116</v>
      </c>
      <c r="I35" s="63" t="n">
        <v>8050</v>
      </c>
      <c r="J35" s="63" t="n">
        <v>7123</v>
      </c>
      <c r="K35" s="63" t="n">
        <v>6896</v>
      </c>
      <c r="L35" s="63" t="n">
        <v>75</v>
      </c>
      <c r="M35" s="63" t="n">
        <v>86</v>
      </c>
      <c r="N35" s="63" t="n">
        <v>4989</v>
      </c>
      <c r="O35" s="63" t="n">
        <v>23601</v>
      </c>
      <c r="P35" s="63" t="n">
        <v>141</v>
      </c>
      <c r="Q35" s="63" t="n">
        <v>823</v>
      </c>
      <c r="R35" s="63" t="n">
        <v>22</v>
      </c>
      <c r="S35" s="63" t="n">
        <v>16</v>
      </c>
      <c r="T35" s="63" t="n">
        <v>29</v>
      </c>
      <c r="U35" s="63" t="n">
        <v>18</v>
      </c>
      <c r="V35" s="63" t="n">
        <v>11431000</v>
      </c>
    </row>
    <row r="36">
      <c r="A36" s="113" t="n">
        <v>35</v>
      </c>
      <c r="B36" s="114" t="n">
        <v>46258</v>
      </c>
      <c r="C36" s="9" t="inlineStr">
        <is>
          <t>Aug</t>
        </is>
      </c>
      <c r="D36" s="9" t="inlineStr">
        <is>
          <t>Noida &amp; Ghaziabad</t>
        </is>
      </c>
      <c r="E36" s="63" t="n">
        <v>8392</v>
      </c>
      <c r="F36" s="63" t="n">
        <v>7883</v>
      </c>
      <c r="G36" s="63" t="n">
        <v>216</v>
      </c>
      <c r="H36" s="63" t="n">
        <v>95</v>
      </c>
      <c r="I36" s="63" t="n">
        <v>7572</v>
      </c>
      <c r="J36" s="63" t="n">
        <v>6761</v>
      </c>
      <c r="K36" s="63" t="n">
        <v>6576</v>
      </c>
      <c r="L36" s="63" t="n">
        <v>64</v>
      </c>
      <c r="M36" s="63" t="n">
        <v>79</v>
      </c>
      <c r="N36" s="63" t="n">
        <v>4673</v>
      </c>
      <c r="O36" s="63" t="n">
        <v>22153</v>
      </c>
      <c r="P36" s="63" t="n">
        <v>101</v>
      </c>
      <c r="Q36" s="63" t="n">
        <v>813</v>
      </c>
      <c r="R36" s="63" t="n">
        <v>21</v>
      </c>
      <c r="S36" s="63" t="n">
        <v>15</v>
      </c>
      <c r="T36" s="63" t="n">
        <v>30</v>
      </c>
      <c r="U36" s="63" t="n">
        <v>19</v>
      </c>
      <c r="V36" s="63" t="n">
        <v>9919320</v>
      </c>
    </row>
    <row r="37">
      <c r="A37" s="113" t="n">
        <v>35</v>
      </c>
      <c r="B37" s="114" t="n">
        <v>46258</v>
      </c>
      <c r="C37" s="9" t="inlineStr">
        <is>
          <t>Aug</t>
        </is>
      </c>
      <c r="D37" s="9" t="inlineStr">
        <is>
          <t>Mumbai</t>
        </is>
      </c>
      <c r="E37" s="63" t="n">
        <v>10668</v>
      </c>
      <c r="F37" s="63" t="n">
        <v>9957</v>
      </c>
      <c r="G37" s="63" t="n">
        <v>307</v>
      </c>
      <c r="H37" s="63" t="n">
        <v>100</v>
      </c>
      <c r="I37" s="63" t="n">
        <v>9550</v>
      </c>
      <c r="J37" s="63" t="n">
        <v>8580</v>
      </c>
      <c r="K37" s="63" t="n">
        <v>8357</v>
      </c>
      <c r="L37" s="63" t="n">
        <v>70</v>
      </c>
      <c r="M37" s="63" t="n">
        <v>89</v>
      </c>
      <c r="N37" s="63" t="n">
        <v>5908</v>
      </c>
      <c r="O37" s="63" t="n">
        <v>28066</v>
      </c>
      <c r="P37" s="63" t="n">
        <v>133</v>
      </c>
      <c r="Q37" s="63" t="n">
        <v>914</v>
      </c>
      <c r="R37" s="63" t="n">
        <v>25</v>
      </c>
      <c r="S37" s="63" t="n">
        <v>13</v>
      </c>
      <c r="T37" s="63" t="n">
        <v>32</v>
      </c>
      <c r="U37" s="63" t="n">
        <v>21</v>
      </c>
      <c r="V37" s="63" t="n">
        <v>13943000</v>
      </c>
    </row>
    <row r="38">
      <c r="A38" s="113" t="n">
        <v>35</v>
      </c>
      <c r="B38" s="114" t="n">
        <v>46258</v>
      </c>
      <c r="C38" s="9" t="inlineStr">
        <is>
          <t>Aug</t>
        </is>
      </c>
      <c r="D38" s="9" t="inlineStr">
        <is>
          <t>Bengaluru</t>
        </is>
      </c>
      <c r="E38" s="63" t="n">
        <v>9166</v>
      </c>
      <c r="F38" s="63" t="n">
        <v>8504</v>
      </c>
      <c r="G38" s="63" t="n">
        <v>242</v>
      </c>
      <c r="H38" s="63" t="n">
        <v>99</v>
      </c>
      <c r="I38" s="63" t="n">
        <v>8163</v>
      </c>
      <c r="J38" s="63" t="n">
        <v>7371</v>
      </c>
      <c r="K38" s="63" t="n">
        <v>7161</v>
      </c>
      <c r="L38" s="63" t="n">
        <v>66</v>
      </c>
      <c r="M38" s="63" t="n">
        <v>87</v>
      </c>
      <c r="N38" s="63" t="n">
        <v>5100</v>
      </c>
      <c r="O38" s="63" t="n">
        <v>24228</v>
      </c>
      <c r="P38" s="63" t="n">
        <v>120</v>
      </c>
      <c r="Q38" s="63" t="n">
        <v>811</v>
      </c>
      <c r="R38" s="63" t="n">
        <v>19</v>
      </c>
      <c r="S38" s="63" t="n">
        <v>14</v>
      </c>
      <c r="T38" s="63" t="n">
        <v>30</v>
      </c>
      <c r="U38" s="63" t="n">
        <v>20</v>
      </c>
      <c r="V38" s="63" t="n">
        <v>11509830</v>
      </c>
    </row>
    <row r="39">
      <c r="A39" s="113" t="n">
        <v>35</v>
      </c>
      <c r="B39" s="114" t="n">
        <v>46258</v>
      </c>
      <c r="C39" s="9" t="inlineStr">
        <is>
          <t>Aug</t>
        </is>
      </c>
      <c r="D39" s="9" t="inlineStr">
        <is>
          <t>Hyderabad</t>
        </is>
      </c>
      <c r="E39" s="63" t="n">
        <v>6059</v>
      </c>
      <c r="F39" s="63" t="n">
        <v>5732</v>
      </c>
      <c r="G39" s="63" t="n">
        <v>155</v>
      </c>
      <c r="H39" s="63" t="n">
        <v>58</v>
      </c>
      <c r="I39" s="63" t="n">
        <v>5519</v>
      </c>
      <c r="J39" s="63" t="n">
        <v>4982</v>
      </c>
      <c r="K39" s="63" t="n">
        <v>4843</v>
      </c>
      <c r="L39" s="63" t="n">
        <v>41</v>
      </c>
      <c r="M39" s="63" t="n">
        <v>56</v>
      </c>
      <c r="N39" s="63" t="n">
        <v>3465</v>
      </c>
      <c r="O39" s="63" t="n">
        <v>16426</v>
      </c>
      <c r="P39" s="63" t="n">
        <v>84</v>
      </c>
      <c r="Q39" s="63" t="n">
        <v>587</v>
      </c>
      <c r="R39" s="63" t="n">
        <v>14</v>
      </c>
      <c r="S39" s="63" t="n">
        <v>10</v>
      </c>
      <c r="T39" s="63" t="n">
        <v>21</v>
      </c>
      <c r="U39" s="63" t="n">
        <v>14</v>
      </c>
      <c r="V39" s="63" t="n">
        <v>7174700</v>
      </c>
    </row>
    <row r="40">
      <c r="A40" s="113" t="n">
        <v>35</v>
      </c>
      <c r="B40" s="114" t="n">
        <v>46258</v>
      </c>
      <c r="C40" s="9" t="inlineStr">
        <is>
          <t>Aug</t>
        </is>
      </c>
      <c r="D40" s="9" t="inlineStr">
        <is>
          <t>Pune</t>
        </is>
      </c>
      <c r="E40" s="63" t="n">
        <v>4459</v>
      </c>
      <c r="F40" s="63" t="n">
        <v>4214</v>
      </c>
      <c r="G40" s="63" t="n">
        <v>119</v>
      </c>
      <c r="H40" s="63" t="n">
        <v>46</v>
      </c>
      <c r="I40" s="63" t="n">
        <v>4049</v>
      </c>
      <c r="J40" s="63" t="n">
        <v>3653</v>
      </c>
      <c r="K40" s="63" t="n">
        <v>3552</v>
      </c>
      <c r="L40" s="63" t="n">
        <v>31</v>
      </c>
      <c r="M40" s="63" t="n">
        <v>38</v>
      </c>
      <c r="N40" s="63" t="n">
        <v>2534</v>
      </c>
      <c r="O40" s="63" t="n">
        <v>12012</v>
      </c>
      <c r="P40" s="63" t="n">
        <v>62</v>
      </c>
      <c r="Q40" s="63" t="n">
        <v>440</v>
      </c>
      <c r="R40" s="63" t="n">
        <v>10</v>
      </c>
      <c r="S40" s="63" t="n">
        <v>6</v>
      </c>
      <c r="T40" s="63" t="n">
        <v>17</v>
      </c>
      <c r="U40" s="63" t="n">
        <v>11</v>
      </c>
      <c r="V40" s="63" t="n">
        <v>5385170</v>
      </c>
    </row>
    <row r="41">
      <c r="A41" s="113" t="n">
        <v>35</v>
      </c>
      <c r="B41" s="114" t="n">
        <v>46258</v>
      </c>
      <c r="C41" s="9" t="inlineStr">
        <is>
          <t>Aug</t>
        </is>
      </c>
      <c r="D41" s="9" t="inlineStr">
        <is>
          <t>Rest of India</t>
        </is>
      </c>
      <c r="E41" s="63" t="n">
        <v>14970</v>
      </c>
      <c r="F41" s="63" t="n">
        <v>14026</v>
      </c>
      <c r="G41" s="63" t="n">
        <v>375</v>
      </c>
      <c r="H41" s="63" t="n">
        <v>152</v>
      </c>
      <c r="I41" s="63" t="n">
        <v>13499</v>
      </c>
      <c r="J41" s="63" t="n">
        <v>12155</v>
      </c>
      <c r="K41" s="63" t="n">
        <v>11806</v>
      </c>
      <c r="L41" s="63" t="n">
        <v>103</v>
      </c>
      <c r="M41" s="63" t="n">
        <v>130</v>
      </c>
      <c r="N41" s="63" t="n">
        <v>8391</v>
      </c>
      <c r="O41" s="63" t="n">
        <v>39694</v>
      </c>
      <c r="P41" s="63" t="n">
        <v>223</v>
      </c>
      <c r="Q41" s="63" t="n">
        <v>1579</v>
      </c>
      <c r="R41" s="63" t="n">
        <v>39</v>
      </c>
      <c r="S41" s="63" t="n">
        <v>25</v>
      </c>
      <c r="T41" s="63" t="n">
        <v>54</v>
      </c>
      <c r="U41" s="63" t="n">
        <v>37</v>
      </c>
      <c r="V41" s="63" t="n">
        <v>16738760</v>
      </c>
    </row>
    <row r="42">
      <c r="A42" s="113" t="n">
        <v>36</v>
      </c>
      <c r="B42" s="114" t="n">
        <v>46265</v>
      </c>
      <c r="C42" s="9" t="inlineStr">
        <is>
          <t>Sep</t>
        </is>
      </c>
      <c r="D42" s="9" t="inlineStr">
        <is>
          <t>Delhi</t>
        </is>
      </c>
      <c r="E42" s="63" t="n">
        <v>12976</v>
      </c>
      <c r="F42" s="63" t="n">
        <v>12211</v>
      </c>
      <c r="G42" s="63" t="n">
        <v>298</v>
      </c>
      <c r="H42" s="63" t="n">
        <v>138</v>
      </c>
      <c r="I42" s="63" t="n">
        <v>11775</v>
      </c>
      <c r="J42" s="63" t="n">
        <v>10733</v>
      </c>
      <c r="K42" s="63" t="n">
        <v>10472</v>
      </c>
      <c r="L42" s="63" t="n">
        <v>89</v>
      </c>
      <c r="M42" s="63" t="n">
        <v>96</v>
      </c>
      <c r="N42" s="63" t="n">
        <v>7202</v>
      </c>
      <c r="O42" s="63" t="n">
        <v>34214</v>
      </c>
      <c r="P42" s="63" t="n">
        <v>151</v>
      </c>
      <c r="Q42" s="63" t="n">
        <v>1236</v>
      </c>
      <c r="R42" s="63" t="n">
        <v>30</v>
      </c>
      <c r="S42" s="63" t="n">
        <v>24</v>
      </c>
      <c r="T42" s="63" t="n">
        <v>43</v>
      </c>
      <c r="U42" s="63" t="n">
        <v>27</v>
      </c>
      <c r="V42" s="63" t="n">
        <v>15778500</v>
      </c>
    </row>
    <row r="43">
      <c r="A43" s="113" t="n">
        <v>36</v>
      </c>
      <c r="B43" s="114" t="n">
        <v>46265</v>
      </c>
      <c r="C43" s="9" t="inlineStr">
        <is>
          <t>Sep</t>
        </is>
      </c>
      <c r="D43" s="9" t="inlineStr">
        <is>
          <t>Gurugram</t>
        </is>
      </c>
      <c r="E43" s="63" t="n">
        <v>9077</v>
      </c>
      <c r="F43" s="63" t="n">
        <v>8504</v>
      </c>
      <c r="G43" s="63" t="n">
        <v>232</v>
      </c>
      <c r="H43" s="63" t="n">
        <v>118</v>
      </c>
      <c r="I43" s="63" t="n">
        <v>8154</v>
      </c>
      <c r="J43" s="63" t="n">
        <v>7368</v>
      </c>
      <c r="K43" s="63" t="n">
        <v>7157</v>
      </c>
      <c r="L43" s="63" t="n">
        <v>71</v>
      </c>
      <c r="M43" s="63" t="n">
        <v>76</v>
      </c>
      <c r="N43" s="63" t="n">
        <v>5017</v>
      </c>
      <c r="O43" s="63" t="n">
        <v>23783</v>
      </c>
      <c r="P43" s="63" t="n">
        <v>128</v>
      </c>
      <c r="Q43" s="63" t="n">
        <v>831</v>
      </c>
      <c r="R43" s="63" t="n">
        <v>21</v>
      </c>
      <c r="S43" s="63" t="n">
        <v>17</v>
      </c>
      <c r="T43" s="63" t="n">
        <v>29</v>
      </c>
      <c r="U43" s="63" t="n">
        <v>19</v>
      </c>
      <c r="V43" s="63" t="n">
        <v>11578680</v>
      </c>
    </row>
    <row r="44">
      <c r="A44" s="113" t="n">
        <v>36</v>
      </c>
      <c r="B44" s="114" t="n">
        <v>46265</v>
      </c>
      <c r="C44" s="9" t="inlineStr">
        <is>
          <t>Sep</t>
        </is>
      </c>
      <c r="D44" s="9" t="inlineStr">
        <is>
          <t>Noida &amp; Ghaziabad</t>
        </is>
      </c>
      <c r="E44" s="63" t="n">
        <v>8432</v>
      </c>
      <c r="F44" s="63" t="n">
        <v>7874</v>
      </c>
      <c r="G44" s="63" t="n">
        <v>207</v>
      </c>
      <c r="H44" s="63" t="n">
        <v>103</v>
      </c>
      <c r="I44" s="63" t="n">
        <v>7564</v>
      </c>
      <c r="J44" s="63" t="n">
        <v>6881</v>
      </c>
      <c r="K44" s="63" t="n">
        <v>6699</v>
      </c>
      <c r="L44" s="63" t="n">
        <v>61</v>
      </c>
      <c r="M44" s="63" t="n">
        <v>72</v>
      </c>
      <c r="N44" s="63" t="n">
        <v>4697</v>
      </c>
      <c r="O44" s="63" t="n">
        <v>22313</v>
      </c>
      <c r="P44" s="63" t="n">
        <v>102</v>
      </c>
      <c r="Q44" s="63" t="n">
        <v>810</v>
      </c>
      <c r="R44" s="63" t="n">
        <v>21</v>
      </c>
      <c r="S44" s="63" t="n">
        <v>17</v>
      </c>
      <c r="T44" s="63" t="n">
        <v>29</v>
      </c>
      <c r="U44" s="63" t="n">
        <v>20</v>
      </c>
      <c r="V44" s="63" t="n">
        <v>9908840</v>
      </c>
    </row>
    <row r="45">
      <c r="A45" s="113" t="n">
        <v>36</v>
      </c>
      <c r="B45" s="114" t="n">
        <v>46265</v>
      </c>
      <c r="C45" s="9" t="inlineStr">
        <is>
          <t>Sep</t>
        </is>
      </c>
      <c r="D45" s="9" t="inlineStr">
        <is>
          <t>Mumbai</t>
        </is>
      </c>
      <c r="E45" s="63" t="n">
        <v>10644</v>
      </c>
      <c r="F45" s="63" t="n">
        <v>9879</v>
      </c>
      <c r="G45" s="63" t="n">
        <v>276</v>
      </c>
      <c r="H45" s="63" t="n">
        <v>116</v>
      </c>
      <c r="I45" s="63" t="n">
        <v>9487</v>
      </c>
      <c r="J45" s="63" t="n">
        <v>8498</v>
      </c>
      <c r="K45" s="63" t="n">
        <v>8282</v>
      </c>
      <c r="L45" s="63" t="n">
        <v>67</v>
      </c>
      <c r="M45" s="63" t="n">
        <v>88</v>
      </c>
      <c r="N45" s="63" t="n">
        <v>5993</v>
      </c>
      <c r="O45" s="63" t="n">
        <v>28530</v>
      </c>
      <c r="P45" s="63" t="n">
        <v>129</v>
      </c>
      <c r="Q45" s="63" t="n">
        <v>905</v>
      </c>
      <c r="R45" s="63" t="n">
        <v>21</v>
      </c>
      <c r="S45" s="63" t="n">
        <v>15</v>
      </c>
      <c r="T45" s="63" t="n">
        <v>32</v>
      </c>
      <c r="U45" s="63" t="n">
        <v>19</v>
      </c>
      <c r="V45" s="63" t="n">
        <v>13851020</v>
      </c>
    </row>
    <row r="46">
      <c r="A46" s="113" t="n">
        <v>36</v>
      </c>
      <c r="B46" s="114" t="n">
        <v>46265</v>
      </c>
      <c r="C46" s="9" t="inlineStr">
        <is>
          <t>Sep</t>
        </is>
      </c>
      <c r="D46" s="9" t="inlineStr">
        <is>
          <t>Bengaluru</t>
        </is>
      </c>
      <c r="E46" s="63" t="n">
        <v>9253</v>
      </c>
      <c r="F46" s="63" t="n">
        <v>8682</v>
      </c>
      <c r="G46" s="63" t="n">
        <v>214</v>
      </c>
      <c r="H46" s="63" t="n">
        <v>97</v>
      </c>
      <c r="I46" s="63" t="n">
        <v>8371</v>
      </c>
      <c r="J46" s="63" t="n">
        <v>7508</v>
      </c>
      <c r="K46" s="63" t="n">
        <v>7320</v>
      </c>
      <c r="L46" s="63" t="n">
        <v>65</v>
      </c>
      <c r="M46" s="63" t="n">
        <v>75</v>
      </c>
      <c r="N46" s="63" t="n">
        <v>5076</v>
      </c>
      <c r="O46" s="63" t="n">
        <v>24165</v>
      </c>
      <c r="P46" s="63" t="n">
        <v>107</v>
      </c>
      <c r="Q46" s="63" t="n">
        <v>829</v>
      </c>
      <c r="R46" s="63" t="n">
        <v>21</v>
      </c>
      <c r="S46" s="63" t="n">
        <v>16</v>
      </c>
      <c r="T46" s="63" t="n">
        <v>26</v>
      </c>
      <c r="U46" s="63" t="n">
        <v>15</v>
      </c>
      <c r="V46" s="63" t="n">
        <v>11803110</v>
      </c>
    </row>
    <row r="47">
      <c r="A47" s="113" t="n">
        <v>36</v>
      </c>
      <c r="B47" s="114" t="n">
        <v>46265</v>
      </c>
      <c r="C47" s="9" t="inlineStr">
        <is>
          <t>Sep</t>
        </is>
      </c>
      <c r="D47" s="9" t="inlineStr">
        <is>
          <t>Hyderabad</t>
        </is>
      </c>
      <c r="E47" s="63" t="n">
        <v>6062</v>
      </c>
      <c r="F47" s="63" t="n">
        <v>5738</v>
      </c>
      <c r="G47" s="63" t="n">
        <v>141</v>
      </c>
      <c r="H47" s="63" t="n">
        <v>66</v>
      </c>
      <c r="I47" s="63" t="n">
        <v>5531</v>
      </c>
      <c r="J47" s="63" t="n">
        <v>5022</v>
      </c>
      <c r="K47" s="63" t="n">
        <v>4899</v>
      </c>
      <c r="L47" s="63" t="n">
        <v>38</v>
      </c>
      <c r="M47" s="63" t="n">
        <v>48</v>
      </c>
      <c r="N47" s="63" t="n">
        <v>3469</v>
      </c>
      <c r="O47" s="63" t="n">
        <v>16480</v>
      </c>
      <c r="P47" s="63" t="n">
        <v>73</v>
      </c>
      <c r="Q47" s="63" t="n">
        <v>587</v>
      </c>
      <c r="R47" s="63" t="n">
        <v>14</v>
      </c>
      <c r="S47" s="63" t="n">
        <v>9</v>
      </c>
      <c r="T47" s="63" t="n">
        <v>20</v>
      </c>
      <c r="U47" s="63" t="n">
        <v>13</v>
      </c>
      <c r="V47" s="63" t="n">
        <v>7190300</v>
      </c>
    </row>
    <row r="48">
      <c r="A48" s="113" t="n">
        <v>36</v>
      </c>
      <c r="B48" s="114" t="n">
        <v>46265</v>
      </c>
      <c r="C48" s="9" t="inlineStr">
        <is>
          <t>Sep</t>
        </is>
      </c>
      <c r="D48" s="9" t="inlineStr">
        <is>
          <t>Pune</t>
        </is>
      </c>
      <c r="E48" s="63" t="n">
        <v>4606</v>
      </c>
      <c r="F48" s="63" t="n">
        <v>4277</v>
      </c>
      <c r="G48" s="63" t="n">
        <v>115</v>
      </c>
      <c r="H48" s="63" t="n">
        <v>49</v>
      </c>
      <c r="I48" s="63" t="n">
        <v>4113</v>
      </c>
      <c r="J48" s="63" t="n">
        <v>3735</v>
      </c>
      <c r="K48" s="63" t="n">
        <v>3647</v>
      </c>
      <c r="L48" s="63" t="n">
        <v>28</v>
      </c>
      <c r="M48" s="63" t="n">
        <v>35</v>
      </c>
      <c r="N48" s="63" t="n">
        <v>2525</v>
      </c>
      <c r="O48" s="63" t="n">
        <v>11995</v>
      </c>
      <c r="P48" s="63" t="n">
        <v>51</v>
      </c>
      <c r="Q48" s="63" t="n">
        <v>445</v>
      </c>
      <c r="R48" s="63" t="n">
        <v>10</v>
      </c>
      <c r="S48" s="63" t="n">
        <v>8</v>
      </c>
      <c r="T48" s="63" t="n">
        <v>15</v>
      </c>
      <c r="U48" s="63" t="n">
        <v>9</v>
      </c>
      <c r="V48" s="63" t="n">
        <v>5470290</v>
      </c>
    </row>
    <row r="49">
      <c r="A49" s="113" t="n">
        <v>36</v>
      </c>
      <c r="B49" s="114" t="n">
        <v>46265</v>
      </c>
      <c r="C49" s="9" t="inlineStr">
        <is>
          <t>Sep</t>
        </is>
      </c>
      <c r="D49" s="9" t="inlineStr">
        <is>
          <t>Rest of India</t>
        </is>
      </c>
      <c r="E49" s="63" t="n">
        <v>15050</v>
      </c>
      <c r="F49" s="63" t="n">
        <v>14141</v>
      </c>
      <c r="G49" s="63" t="n">
        <v>371</v>
      </c>
      <c r="H49" s="63" t="n">
        <v>169</v>
      </c>
      <c r="I49" s="63" t="n">
        <v>13601</v>
      </c>
      <c r="J49" s="63" t="n">
        <v>12197</v>
      </c>
      <c r="K49" s="63" t="n">
        <v>11871</v>
      </c>
      <c r="L49" s="63" t="n">
        <v>109</v>
      </c>
      <c r="M49" s="63" t="n">
        <v>127</v>
      </c>
      <c r="N49" s="63" t="n">
        <v>8413</v>
      </c>
      <c r="O49" s="63" t="n">
        <v>39882</v>
      </c>
      <c r="P49" s="63" t="n">
        <v>192</v>
      </c>
      <c r="Q49" s="63" t="n">
        <v>1587</v>
      </c>
      <c r="R49" s="63" t="n">
        <v>39</v>
      </c>
      <c r="S49" s="63" t="n">
        <v>31</v>
      </c>
      <c r="T49" s="63" t="n">
        <v>55</v>
      </c>
      <c r="U49" s="63" t="n">
        <v>35</v>
      </c>
      <c r="V49" s="63" t="n">
        <v>16865240</v>
      </c>
    </row>
    <row r="50">
      <c r="A50" s="113" t="n">
        <v>37</v>
      </c>
      <c r="B50" s="114" t="n">
        <v>46272</v>
      </c>
      <c r="C50" s="9" t="inlineStr">
        <is>
          <t>Sep</t>
        </is>
      </c>
      <c r="D50" s="9" t="inlineStr">
        <is>
          <t>Delhi</t>
        </is>
      </c>
      <c r="E50" s="63" t="n">
        <v>13042</v>
      </c>
      <c r="F50" s="63" t="n">
        <v>12296</v>
      </c>
      <c r="G50" s="63" t="n">
        <v>288</v>
      </c>
      <c r="H50" s="63" t="n">
        <v>138</v>
      </c>
      <c r="I50" s="63" t="n">
        <v>11870</v>
      </c>
      <c r="J50" s="63" t="n">
        <v>10674</v>
      </c>
      <c r="K50" s="63" t="n">
        <v>10398</v>
      </c>
      <c r="L50" s="63" t="n">
        <v>90</v>
      </c>
      <c r="M50" s="63" t="n">
        <v>115</v>
      </c>
      <c r="N50" s="63" t="n">
        <v>7372</v>
      </c>
      <c r="O50" s="63" t="n">
        <v>34874</v>
      </c>
      <c r="P50" s="63" t="n">
        <v>156</v>
      </c>
      <c r="Q50" s="63" t="n">
        <v>1238</v>
      </c>
      <c r="R50" s="63" t="n">
        <v>28</v>
      </c>
      <c r="S50" s="63" t="n">
        <v>21</v>
      </c>
      <c r="T50" s="63" t="n">
        <v>38</v>
      </c>
      <c r="U50" s="63" t="n">
        <v>24</v>
      </c>
      <c r="V50" s="63" t="n">
        <v>15905800</v>
      </c>
    </row>
    <row r="51">
      <c r="A51" s="113" t="n">
        <v>37</v>
      </c>
      <c r="B51" s="114" t="n">
        <v>46272</v>
      </c>
      <c r="C51" s="9" t="inlineStr">
        <is>
          <t>Sep</t>
        </is>
      </c>
      <c r="D51" s="9" t="inlineStr">
        <is>
          <t>Gurugram</t>
        </is>
      </c>
      <c r="E51" s="63" t="n">
        <v>9325</v>
      </c>
      <c r="F51" s="63" t="n">
        <v>8787</v>
      </c>
      <c r="G51" s="63" t="n">
        <v>239</v>
      </c>
      <c r="H51" s="63" t="n">
        <v>133</v>
      </c>
      <c r="I51" s="63" t="n">
        <v>8415</v>
      </c>
      <c r="J51" s="63" t="n">
        <v>7598</v>
      </c>
      <c r="K51" s="63" t="n">
        <v>7368</v>
      </c>
      <c r="L51" s="63" t="n">
        <v>74</v>
      </c>
      <c r="M51" s="63" t="n">
        <v>91</v>
      </c>
      <c r="N51" s="63" t="n">
        <v>5226</v>
      </c>
      <c r="O51" s="63" t="n">
        <v>24670</v>
      </c>
      <c r="P51" s="63" t="n">
        <v>134</v>
      </c>
      <c r="Q51" s="63" t="n">
        <v>852</v>
      </c>
      <c r="R51" s="63" t="n">
        <v>20</v>
      </c>
      <c r="S51" s="63" t="n">
        <v>17</v>
      </c>
      <c r="T51" s="63" t="n">
        <v>28</v>
      </c>
      <c r="U51" s="63" t="n">
        <v>18</v>
      </c>
      <c r="V51" s="63" t="n">
        <v>11949300</v>
      </c>
    </row>
    <row r="52">
      <c r="A52" s="113" t="n">
        <v>37</v>
      </c>
      <c r="B52" s="114" t="n">
        <v>46272</v>
      </c>
      <c r="C52" s="9" t="inlineStr">
        <is>
          <t>Sep</t>
        </is>
      </c>
      <c r="D52" s="9" t="inlineStr">
        <is>
          <t>Noida &amp; Ghaziabad</t>
        </is>
      </c>
      <c r="E52" s="63" t="n">
        <v>8462</v>
      </c>
      <c r="F52" s="63" t="n">
        <v>7918</v>
      </c>
      <c r="G52" s="63" t="n">
        <v>194</v>
      </c>
      <c r="H52" s="63" t="n">
        <v>114</v>
      </c>
      <c r="I52" s="63" t="n">
        <v>7610</v>
      </c>
      <c r="J52" s="63" t="n">
        <v>6802</v>
      </c>
      <c r="K52" s="63" t="n">
        <v>6611</v>
      </c>
      <c r="L52" s="63" t="n">
        <v>66</v>
      </c>
      <c r="M52" s="63" t="n">
        <v>80</v>
      </c>
      <c r="N52" s="63" t="n">
        <v>4760</v>
      </c>
      <c r="O52" s="63" t="n">
        <v>22517</v>
      </c>
      <c r="P52" s="63" t="n">
        <v>106</v>
      </c>
      <c r="Q52" s="63" t="n">
        <v>810</v>
      </c>
      <c r="R52" s="63" t="n">
        <v>20</v>
      </c>
      <c r="S52" s="63" t="n">
        <v>16</v>
      </c>
      <c r="T52" s="63" t="n">
        <v>27</v>
      </c>
      <c r="U52" s="63" t="n">
        <v>17</v>
      </c>
      <c r="V52" s="63" t="n">
        <v>9969100</v>
      </c>
    </row>
    <row r="53">
      <c r="A53" s="113" t="n">
        <v>37</v>
      </c>
      <c r="B53" s="114" t="n">
        <v>46272</v>
      </c>
      <c r="C53" s="9" t="inlineStr">
        <is>
          <t>Sep</t>
        </is>
      </c>
      <c r="D53" s="9" t="inlineStr">
        <is>
          <t>Mumbai</t>
        </is>
      </c>
      <c r="E53" s="63" t="n">
        <v>10973</v>
      </c>
      <c r="F53" s="63" t="n">
        <v>10280</v>
      </c>
      <c r="G53" s="63" t="n">
        <v>288</v>
      </c>
      <c r="H53" s="63" t="n">
        <v>133</v>
      </c>
      <c r="I53" s="63" t="n">
        <v>9859</v>
      </c>
      <c r="J53" s="63" t="n">
        <v>8769</v>
      </c>
      <c r="K53" s="63" t="n">
        <v>8535</v>
      </c>
      <c r="L53" s="63" t="n">
        <v>74</v>
      </c>
      <c r="M53" s="63" t="n">
        <v>93</v>
      </c>
      <c r="N53" s="63" t="n">
        <v>6141</v>
      </c>
      <c r="O53" s="63" t="n">
        <v>29112</v>
      </c>
      <c r="P53" s="63" t="n">
        <v>143</v>
      </c>
      <c r="Q53" s="63" t="n">
        <v>935</v>
      </c>
      <c r="R53" s="63" t="n">
        <v>22</v>
      </c>
      <c r="S53" s="63" t="n">
        <v>15</v>
      </c>
      <c r="T53" s="63" t="n">
        <v>33</v>
      </c>
      <c r="U53" s="63" t="n">
        <v>19</v>
      </c>
      <c r="V53" s="63" t="n">
        <v>14394140</v>
      </c>
    </row>
    <row r="54">
      <c r="A54" s="113" t="n">
        <v>37</v>
      </c>
      <c r="B54" s="114" t="n">
        <v>46272</v>
      </c>
      <c r="C54" s="9" t="inlineStr">
        <is>
          <t>Sep</t>
        </is>
      </c>
      <c r="D54" s="9" t="inlineStr">
        <is>
          <t>Bengaluru</t>
        </is>
      </c>
      <c r="E54" s="63" t="n">
        <v>9226</v>
      </c>
      <c r="F54" s="63" t="n">
        <v>8643</v>
      </c>
      <c r="G54" s="63" t="n">
        <v>222</v>
      </c>
      <c r="H54" s="63" t="n">
        <v>112</v>
      </c>
      <c r="I54" s="63" t="n">
        <v>8309</v>
      </c>
      <c r="J54" s="63" t="n">
        <v>7428</v>
      </c>
      <c r="K54" s="63" t="n">
        <v>7220</v>
      </c>
      <c r="L54" s="63" t="n">
        <v>66</v>
      </c>
      <c r="M54" s="63" t="n">
        <v>87</v>
      </c>
      <c r="N54" s="63" t="n">
        <v>5175</v>
      </c>
      <c r="O54" s="63" t="n">
        <v>24532</v>
      </c>
      <c r="P54" s="63" t="n">
        <v>121</v>
      </c>
      <c r="Q54" s="63" t="n">
        <v>817</v>
      </c>
      <c r="R54" s="63" t="n">
        <v>20</v>
      </c>
      <c r="S54" s="63" t="n">
        <v>14</v>
      </c>
      <c r="T54" s="63" t="n">
        <v>28</v>
      </c>
      <c r="U54" s="63" t="n">
        <v>18</v>
      </c>
      <c r="V54" s="63" t="n">
        <v>11715690</v>
      </c>
    </row>
    <row r="55">
      <c r="A55" s="113" t="n">
        <v>37</v>
      </c>
      <c r="B55" s="114" t="n">
        <v>46272</v>
      </c>
      <c r="C55" s="9" t="inlineStr">
        <is>
          <t>Sep</t>
        </is>
      </c>
      <c r="D55" s="9" t="inlineStr">
        <is>
          <t>Hyderabad</t>
        </is>
      </c>
      <c r="E55" s="63" t="n">
        <v>6016</v>
      </c>
      <c r="F55" s="63" t="n">
        <v>5713</v>
      </c>
      <c r="G55" s="63" t="n">
        <v>132</v>
      </c>
      <c r="H55" s="63" t="n">
        <v>71</v>
      </c>
      <c r="I55" s="63" t="n">
        <v>5510</v>
      </c>
      <c r="J55" s="63" t="n">
        <v>4997</v>
      </c>
      <c r="K55" s="63" t="n">
        <v>4851</v>
      </c>
      <c r="L55" s="63" t="n">
        <v>40</v>
      </c>
      <c r="M55" s="63" t="n">
        <v>55</v>
      </c>
      <c r="N55" s="63" t="n">
        <v>3421</v>
      </c>
      <c r="O55" s="63" t="n">
        <v>16183</v>
      </c>
      <c r="P55" s="63" t="n">
        <v>94</v>
      </c>
      <c r="Q55" s="63" t="n">
        <v>580</v>
      </c>
      <c r="R55" s="63" t="n">
        <v>15</v>
      </c>
      <c r="S55" s="63" t="n">
        <v>10</v>
      </c>
      <c r="T55" s="63" t="n">
        <v>21</v>
      </c>
      <c r="U55" s="63" t="n">
        <v>14</v>
      </c>
      <c r="V55" s="63" t="n">
        <v>7163000</v>
      </c>
    </row>
    <row r="56">
      <c r="A56" s="113" t="n">
        <v>37</v>
      </c>
      <c r="B56" s="114" t="n">
        <v>46272</v>
      </c>
      <c r="C56" s="9" t="inlineStr">
        <is>
          <t>Sep</t>
        </is>
      </c>
      <c r="D56" s="9" t="inlineStr">
        <is>
          <t>Pune</t>
        </is>
      </c>
      <c r="E56" s="63" t="n">
        <v>4566</v>
      </c>
      <c r="F56" s="63" t="n">
        <v>4314</v>
      </c>
      <c r="G56" s="63" t="n">
        <v>101</v>
      </c>
      <c r="H56" s="63" t="n">
        <v>51</v>
      </c>
      <c r="I56" s="63" t="n">
        <v>4162</v>
      </c>
      <c r="J56" s="63" t="n">
        <v>3760</v>
      </c>
      <c r="K56" s="63" t="n">
        <v>3661</v>
      </c>
      <c r="L56" s="63" t="n">
        <v>29</v>
      </c>
      <c r="M56" s="63" t="n">
        <v>39</v>
      </c>
      <c r="N56" s="63" t="n">
        <v>2538</v>
      </c>
      <c r="O56" s="63" t="n">
        <v>12006</v>
      </c>
      <c r="P56" s="63" t="n">
        <v>61</v>
      </c>
      <c r="Q56" s="63" t="n">
        <v>447</v>
      </c>
      <c r="R56" s="63" t="n">
        <v>10</v>
      </c>
      <c r="S56" s="63" t="n">
        <v>8</v>
      </c>
      <c r="T56" s="63" t="n">
        <v>15</v>
      </c>
      <c r="U56" s="63" t="n">
        <v>10</v>
      </c>
      <c r="V56" s="63" t="n">
        <v>5535460</v>
      </c>
    </row>
    <row r="57">
      <c r="A57" s="113" t="n">
        <v>37</v>
      </c>
      <c r="B57" s="114" t="n">
        <v>46272</v>
      </c>
      <c r="C57" s="9" t="inlineStr">
        <is>
          <t>Sep</t>
        </is>
      </c>
      <c r="D57" s="9" t="inlineStr">
        <is>
          <t>Rest of India</t>
        </is>
      </c>
      <c r="E57" s="63" t="n">
        <v>15190</v>
      </c>
      <c r="F57" s="63" t="n">
        <v>14164</v>
      </c>
      <c r="G57" s="63" t="n">
        <v>339</v>
      </c>
      <c r="H57" s="63" t="n">
        <v>185</v>
      </c>
      <c r="I57" s="63" t="n">
        <v>13640</v>
      </c>
      <c r="J57" s="63" t="n">
        <v>12271</v>
      </c>
      <c r="K57" s="63" t="n">
        <v>11916</v>
      </c>
      <c r="L57" s="63" t="n">
        <v>109</v>
      </c>
      <c r="M57" s="63" t="n">
        <v>134</v>
      </c>
      <c r="N57" s="63" t="n">
        <v>8518</v>
      </c>
      <c r="O57" s="63" t="n">
        <v>40210</v>
      </c>
      <c r="P57" s="63" t="n">
        <v>221</v>
      </c>
      <c r="Q57" s="63" t="n">
        <v>1581</v>
      </c>
      <c r="R57" s="63" t="n">
        <v>35</v>
      </c>
      <c r="S57" s="63" t="n">
        <v>30</v>
      </c>
      <c r="T57" s="63" t="n">
        <v>51</v>
      </c>
      <c r="U57" s="63" t="n">
        <v>34</v>
      </c>
      <c r="V57" s="63" t="n">
        <v>16913600</v>
      </c>
    </row>
    <row r="58">
      <c r="A58" s="113" t="n">
        <v>38</v>
      </c>
      <c r="B58" s="114" t="n">
        <v>46279</v>
      </c>
      <c r="C58" s="9" t="inlineStr">
        <is>
          <t>Sep</t>
        </is>
      </c>
      <c r="D58" s="9" t="inlineStr">
        <is>
          <t>Delhi</t>
        </is>
      </c>
      <c r="E58" s="63" t="n">
        <v>13117</v>
      </c>
      <c r="F58" s="63" t="n">
        <v>12247</v>
      </c>
      <c r="G58" s="63" t="n">
        <v>305</v>
      </c>
      <c r="H58" s="63" t="n">
        <v>134</v>
      </c>
      <c r="I58" s="63" t="n">
        <v>11808</v>
      </c>
      <c r="J58" s="63" t="n">
        <v>10478</v>
      </c>
      <c r="K58" s="63" t="n">
        <v>10185</v>
      </c>
      <c r="L58" s="63" t="n">
        <v>91</v>
      </c>
      <c r="M58" s="63" t="n">
        <v>125</v>
      </c>
      <c r="N58" s="63" t="n">
        <v>7332</v>
      </c>
      <c r="O58" s="63" t="n">
        <v>34758</v>
      </c>
      <c r="P58" s="63" t="n">
        <v>172</v>
      </c>
      <c r="Q58" s="63" t="n">
        <v>1231</v>
      </c>
      <c r="R58" s="63" t="n">
        <v>32</v>
      </c>
      <c r="S58" s="63" t="n">
        <v>24</v>
      </c>
      <c r="T58" s="63" t="n">
        <v>42</v>
      </c>
      <c r="U58" s="63" t="n">
        <v>24</v>
      </c>
      <c r="V58" s="63" t="n">
        <v>15822720</v>
      </c>
    </row>
    <row r="59">
      <c r="A59" s="113" t="n">
        <v>38</v>
      </c>
      <c r="B59" s="114" t="n">
        <v>46279</v>
      </c>
      <c r="C59" s="9" t="inlineStr">
        <is>
          <t>Sep</t>
        </is>
      </c>
      <c r="D59" s="9" t="inlineStr">
        <is>
          <t>Gurugram</t>
        </is>
      </c>
      <c r="E59" s="63" t="n">
        <v>9378</v>
      </c>
      <c r="F59" s="63" t="n">
        <v>8728</v>
      </c>
      <c r="G59" s="63" t="n">
        <v>263</v>
      </c>
      <c r="H59" s="63" t="n">
        <v>127</v>
      </c>
      <c r="I59" s="63" t="n">
        <v>8338</v>
      </c>
      <c r="J59" s="63" t="n">
        <v>7437</v>
      </c>
      <c r="K59" s="63" t="n">
        <v>7197</v>
      </c>
      <c r="L59" s="63" t="n">
        <v>71</v>
      </c>
      <c r="M59" s="63" t="n">
        <v>101</v>
      </c>
      <c r="N59" s="63" t="n">
        <v>5136</v>
      </c>
      <c r="O59" s="63" t="n">
        <v>24297</v>
      </c>
      <c r="P59" s="63" t="n">
        <v>145</v>
      </c>
      <c r="Q59" s="63" t="n">
        <v>844</v>
      </c>
      <c r="R59" s="63" t="n">
        <v>21</v>
      </c>
      <c r="S59" s="63" t="n">
        <v>20</v>
      </c>
      <c r="T59" s="63" t="n">
        <v>28</v>
      </c>
      <c r="U59" s="63" t="n">
        <v>18</v>
      </c>
      <c r="V59" s="63" t="n">
        <v>11839960</v>
      </c>
    </row>
    <row r="60">
      <c r="A60" s="113" t="n">
        <v>38</v>
      </c>
      <c r="B60" s="114" t="n">
        <v>46279</v>
      </c>
      <c r="C60" s="9" t="inlineStr">
        <is>
          <t>Sep</t>
        </is>
      </c>
      <c r="D60" s="9" t="inlineStr">
        <is>
          <t>Noida &amp; Ghaziabad</t>
        </is>
      </c>
      <c r="E60" s="63" t="n">
        <v>8478</v>
      </c>
      <c r="F60" s="63" t="n">
        <v>7998</v>
      </c>
      <c r="G60" s="63" t="n">
        <v>220</v>
      </c>
      <c r="H60" s="63" t="n">
        <v>95</v>
      </c>
      <c r="I60" s="63" t="n">
        <v>7683</v>
      </c>
      <c r="J60" s="63" t="n">
        <v>6950</v>
      </c>
      <c r="K60" s="63" t="n">
        <v>6738</v>
      </c>
      <c r="L60" s="63" t="n">
        <v>68</v>
      </c>
      <c r="M60" s="63" t="n">
        <v>83</v>
      </c>
      <c r="N60" s="63" t="n">
        <v>4659</v>
      </c>
      <c r="O60" s="63" t="n">
        <v>22087</v>
      </c>
      <c r="P60" s="63" t="n">
        <v>125</v>
      </c>
      <c r="Q60" s="63" t="n">
        <v>817</v>
      </c>
      <c r="R60" s="63" t="n">
        <v>20</v>
      </c>
      <c r="S60" s="63" t="n">
        <v>18</v>
      </c>
      <c r="T60" s="63" t="n">
        <v>30</v>
      </c>
      <c r="U60" s="63" t="n">
        <v>19</v>
      </c>
      <c r="V60" s="63" t="n">
        <v>10064730</v>
      </c>
    </row>
    <row r="61">
      <c r="A61" s="113" t="n">
        <v>38</v>
      </c>
      <c r="B61" s="114" t="n">
        <v>46279</v>
      </c>
      <c r="C61" s="9" t="inlineStr">
        <is>
          <t>Sep</t>
        </is>
      </c>
      <c r="D61" s="9" t="inlineStr">
        <is>
          <t>Mumbai</t>
        </is>
      </c>
      <c r="E61" s="63" t="n">
        <v>10932</v>
      </c>
      <c r="F61" s="63" t="n">
        <v>10130</v>
      </c>
      <c r="G61" s="63" t="n">
        <v>301</v>
      </c>
      <c r="H61" s="63" t="n">
        <v>113</v>
      </c>
      <c r="I61" s="63" t="n">
        <v>9716</v>
      </c>
      <c r="J61" s="63" t="n">
        <v>8643</v>
      </c>
      <c r="K61" s="63" t="n">
        <v>8397</v>
      </c>
      <c r="L61" s="63" t="n">
        <v>78</v>
      </c>
      <c r="M61" s="63" t="n">
        <v>106</v>
      </c>
      <c r="N61" s="63" t="n">
        <v>6051</v>
      </c>
      <c r="O61" s="63" t="n">
        <v>28746</v>
      </c>
      <c r="P61" s="63" t="n">
        <v>142</v>
      </c>
      <c r="Q61" s="63" t="n">
        <v>921</v>
      </c>
      <c r="R61" s="63" t="n">
        <v>23</v>
      </c>
      <c r="S61" s="63" t="n">
        <v>17</v>
      </c>
      <c r="T61" s="63" t="n">
        <v>34</v>
      </c>
      <c r="U61" s="63" t="n">
        <v>21</v>
      </c>
      <c r="V61" s="63" t="n">
        <v>14185360</v>
      </c>
    </row>
    <row r="62">
      <c r="A62" s="113" t="n">
        <v>38</v>
      </c>
      <c r="B62" s="114" t="n">
        <v>46279</v>
      </c>
      <c r="C62" s="9" t="inlineStr">
        <is>
          <t>Sep</t>
        </is>
      </c>
      <c r="D62" s="9" t="inlineStr">
        <is>
          <t>Bengaluru</t>
        </is>
      </c>
      <c r="E62" s="63" t="n">
        <v>9187</v>
      </c>
      <c r="F62" s="63" t="n">
        <v>8559</v>
      </c>
      <c r="G62" s="63" t="n">
        <v>228</v>
      </c>
      <c r="H62" s="63" t="n">
        <v>110</v>
      </c>
      <c r="I62" s="63" t="n">
        <v>8221</v>
      </c>
      <c r="J62" s="63" t="n">
        <v>7343</v>
      </c>
      <c r="K62" s="63" t="n">
        <v>7132</v>
      </c>
      <c r="L62" s="63" t="n">
        <v>67</v>
      </c>
      <c r="M62" s="63" t="n">
        <v>89</v>
      </c>
      <c r="N62" s="63" t="n">
        <v>5106</v>
      </c>
      <c r="O62" s="63" t="n">
        <v>24257</v>
      </c>
      <c r="P62" s="63" t="n">
        <v>122</v>
      </c>
      <c r="Q62" s="63" t="n">
        <v>808</v>
      </c>
      <c r="R62" s="63" t="n">
        <v>24</v>
      </c>
      <c r="S62" s="63" t="n">
        <v>16</v>
      </c>
      <c r="T62" s="63" t="n">
        <v>27</v>
      </c>
      <c r="U62" s="63" t="n">
        <v>16</v>
      </c>
      <c r="V62" s="63" t="n">
        <v>11591610</v>
      </c>
    </row>
    <row r="63">
      <c r="A63" s="113" t="n">
        <v>38</v>
      </c>
      <c r="B63" s="114" t="n">
        <v>46279</v>
      </c>
      <c r="C63" s="9" t="inlineStr">
        <is>
          <t>Sep</t>
        </is>
      </c>
      <c r="D63" s="9" t="inlineStr">
        <is>
          <t>Hyderabad</t>
        </is>
      </c>
      <c r="E63" s="63" t="n">
        <v>6215</v>
      </c>
      <c r="F63" s="63" t="n">
        <v>5897</v>
      </c>
      <c r="G63" s="63" t="n">
        <v>155</v>
      </c>
      <c r="H63" s="63" t="n">
        <v>70</v>
      </c>
      <c r="I63" s="63" t="n">
        <v>5672</v>
      </c>
      <c r="J63" s="63" t="n">
        <v>5116</v>
      </c>
      <c r="K63" s="63" t="n">
        <v>4973</v>
      </c>
      <c r="L63" s="63" t="n">
        <v>44</v>
      </c>
      <c r="M63" s="63" t="n">
        <v>60</v>
      </c>
      <c r="N63" s="63" t="n">
        <v>3504</v>
      </c>
      <c r="O63" s="63" t="n">
        <v>16611</v>
      </c>
      <c r="P63" s="63" t="n">
        <v>82</v>
      </c>
      <c r="Q63" s="63" t="n">
        <v>597</v>
      </c>
      <c r="R63" s="63" t="n">
        <v>14</v>
      </c>
      <c r="S63" s="63" t="n">
        <v>11</v>
      </c>
      <c r="T63" s="63" t="n">
        <v>21</v>
      </c>
      <c r="U63" s="63" t="n">
        <v>13</v>
      </c>
      <c r="V63" s="63" t="n">
        <v>7373600</v>
      </c>
    </row>
    <row r="64">
      <c r="A64" s="113" t="n">
        <v>38</v>
      </c>
      <c r="B64" s="114" t="n">
        <v>46279</v>
      </c>
      <c r="C64" s="9" t="inlineStr">
        <is>
          <t>Sep</t>
        </is>
      </c>
      <c r="D64" s="9" t="inlineStr">
        <is>
          <t>Pune</t>
        </is>
      </c>
      <c r="E64" s="63" t="n">
        <v>4726</v>
      </c>
      <c r="F64" s="63" t="n">
        <v>4445</v>
      </c>
      <c r="G64" s="63" t="n">
        <v>109</v>
      </c>
      <c r="H64" s="63" t="n">
        <v>46</v>
      </c>
      <c r="I64" s="63" t="n">
        <v>4290</v>
      </c>
      <c r="J64" s="63" t="n">
        <v>3873</v>
      </c>
      <c r="K64" s="63" t="n">
        <v>3769</v>
      </c>
      <c r="L64" s="63" t="n">
        <v>28</v>
      </c>
      <c r="M64" s="63" t="n">
        <v>44</v>
      </c>
      <c r="N64" s="63" t="n">
        <v>2643</v>
      </c>
      <c r="O64" s="63" t="n">
        <v>12529</v>
      </c>
      <c r="P64" s="63" t="n">
        <v>64</v>
      </c>
      <c r="Q64" s="63" t="n">
        <v>461</v>
      </c>
      <c r="R64" s="63" t="n">
        <v>14</v>
      </c>
      <c r="S64" s="63" t="n">
        <v>9</v>
      </c>
      <c r="T64" s="63" t="n">
        <v>16</v>
      </c>
      <c r="U64" s="63" t="n">
        <v>9</v>
      </c>
      <c r="V64" s="63" t="n">
        <v>5705700</v>
      </c>
    </row>
    <row r="65">
      <c r="A65" s="113" t="n">
        <v>38</v>
      </c>
      <c r="B65" s="114" t="n">
        <v>46279</v>
      </c>
      <c r="C65" s="9" t="inlineStr">
        <is>
          <t>Sep</t>
        </is>
      </c>
      <c r="D65" s="9" t="inlineStr">
        <is>
          <t>Rest of India</t>
        </is>
      </c>
      <c r="E65" s="63" t="n">
        <v>15567</v>
      </c>
      <c r="F65" s="63" t="n">
        <v>14552</v>
      </c>
      <c r="G65" s="63" t="n">
        <v>378</v>
      </c>
      <c r="H65" s="63" t="n">
        <v>176</v>
      </c>
      <c r="I65" s="63" t="n">
        <v>13998</v>
      </c>
      <c r="J65" s="63" t="n">
        <v>12634</v>
      </c>
      <c r="K65" s="63" t="n">
        <v>12240</v>
      </c>
      <c r="L65" s="63" t="n">
        <v>125</v>
      </c>
      <c r="M65" s="63" t="n">
        <v>159</v>
      </c>
      <c r="N65" s="63" t="n">
        <v>8799</v>
      </c>
      <c r="O65" s="63" t="n">
        <v>41625</v>
      </c>
      <c r="P65" s="63" t="n">
        <v>229</v>
      </c>
      <c r="Q65" s="63" t="n">
        <v>1621</v>
      </c>
      <c r="R65" s="63" t="n">
        <v>40</v>
      </c>
      <c r="S65" s="63" t="n">
        <v>31</v>
      </c>
      <c r="T65" s="63" t="n">
        <v>60</v>
      </c>
      <c r="U65" s="63" t="n">
        <v>40</v>
      </c>
      <c r="V65" s="63" t="n">
        <v>17357520</v>
      </c>
    </row>
    <row r="66">
      <c r="A66" s="113" t="n">
        <v>39</v>
      </c>
      <c r="B66" s="114" t="n">
        <v>46286</v>
      </c>
      <c r="C66" s="9" t="inlineStr">
        <is>
          <t>Sep</t>
        </is>
      </c>
      <c r="D66" s="9" t="inlineStr">
        <is>
          <t>Delhi</t>
        </is>
      </c>
      <c r="E66" s="63" t="n">
        <v>13207</v>
      </c>
      <c r="F66" s="63" t="n">
        <v>12485</v>
      </c>
      <c r="G66" s="63" t="n">
        <v>302</v>
      </c>
      <c r="H66" s="63" t="n">
        <v>147</v>
      </c>
      <c r="I66" s="63" t="n">
        <v>12036</v>
      </c>
      <c r="J66" s="63" t="n">
        <v>10846</v>
      </c>
      <c r="K66" s="63" t="n">
        <v>10569</v>
      </c>
      <c r="L66" s="63" t="n">
        <v>87</v>
      </c>
      <c r="M66" s="63" t="n">
        <v>121</v>
      </c>
      <c r="N66" s="63" t="n">
        <v>7427</v>
      </c>
      <c r="O66" s="63" t="n">
        <v>35283</v>
      </c>
      <c r="P66" s="63" t="n">
        <v>153</v>
      </c>
      <c r="Q66" s="63" t="n">
        <v>1249</v>
      </c>
      <c r="R66" s="63" t="n">
        <v>27</v>
      </c>
      <c r="S66" s="63" t="n">
        <v>24</v>
      </c>
      <c r="T66" s="63" t="n">
        <v>38</v>
      </c>
      <c r="U66" s="63" t="n">
        <v>25</v>
      </c>
      <c r="V66" s="63" t="n">
        <v>16128240</v>
      </c>
    </row>
    <row r="67">
      <c r="A67" s="113" t="n">
        <v>39</v>
      </c>
      <c r="B67" s="114" t="n">
        <v>46286</v>
      </c>
      <c r="C67" s="9" t="inlineStr">
        <is>
          <t>Sep</t>
        </is>
      </c>
      <c r="D67" s="9" t="inlineStr">
        <is>
          <t>Gurugram</t>
        </is>
      </c>
      <c r="E67" s="63" t="n">
        <v>9369</v>
      </c>
      <c r="F67" s="63" t="n">
        <v>8751</v>
      </c>
      <c r="G67" s="63" t="n">
        <v>236</v>
      </c>
      <c r="H67" s="63" t="n">
        <v>128</v>
      </c>
      <c r="I67" s="63" t="n">
        <v>8387</v>
      </c>
      <c r="J67" s="63" t="n">
        <v>7553</v>
      </c>
      <c r="K67" s="63" t="n">
        <v>7332</v>
      </c>
      <c r="L67" s="63" t="n">
        <v>75</v>
      </c>
      <c r="M67" s="63" t="n">
        <v>79</v>
      </c>
      <c r="N67" s="63" t="n">
        <v>5087</v>
      </c>
      <c r="O67" s="63" t="n">
        <v>24115</v>
      </c>
      <c r="P67" s="63" t="n">
        <v>135</v>
      </c>
      <c r="Q67" s="63" t="n">
        <v>845</v>
      </c>
      <c r="R67" s="63" t="n">
        <v>21</v>
      </c>
      <c r="S67" s="63" t="n">
        <v>18</v>
      </c>
      <c r="T67" s="63" t="n">
        <v>32</v>
      </c>
      <c r="U67" s="63" t="n">
        <v>21</v>
      </c>
      <c r="V67" s="63" t="n">
        <v>11909540</v>
      </c>
    </row>
    <row r="68">
      <c r="A68" s="113" t="n">
        <v>39</v>
      </c>
      <c r="B68" s="114" t="n">
        <v>46286</v>
      </c>
      <c r="C68" s="9" t="inlineStr">
        <is>
          <t>Sep</t>
        </is>
      </c>
      <c r="D68" s="9" t="inlineStr">
        <is>
          <t>Noida &amp; Ghaziabad</t>
        </is>
      </c>
      <c r="E68" s="63" t="n">
        <v>8519</v>
      </c>
      <c r="F68" s="63" t="n">
        <v>8009</v>
      </c>
      <c r="G68" s="63" t="n">
        <v>212</v>
      </c>
      <c r="H68" s="63" t="n">
        <v>115</v>
      </c>
      <c r="I68" s="63" t="n">
        <v>7682</v>
      </c>
      <c r="J68" s="63" t="n">
        <v>6960</v>
      </c>
      <c r="K68" s="63" t="n">
        <v>6768</v>
      </c>
      <c r="L68" s="63" t="n">
        <v>66</v>
      </c>
      <c r="M68" s="63" t="n">
        <v>81</v>
      </c>
      <c r="N68" s="63" t="n">
        <v>4729</v>
      </c>
      <c r="O68" s="63" t="n">
        <v>22465</v>
      </c>
      <c r="P68" s="63" t="n">
        <v>102</v>
      </c>
      <c r="Q68" s="63" t="n">
        <v>814</v>
      </c>
      <c r="R68" s="63" t="n">
        <v>18</v>
      </c>
      <c r="S68" s="63" t="n">
        <v>17</v>
      </c>
      <c r="T68" s="63" t="n">
        <v>28</v>
      </c>
      <c r="U68" s="63" t="n">
        <v>18</v>
      </c>
      <c r="V68" s="63" t="n">
        <v>10063420</v>
      </c>
    </row>
    <row r="69">
      <c r="A69" s="113" t="n">
        <v>39</v>
      </c>
      <c r="B69" s="114" t="n">
        <v>46286</v>
      </c>
      <c r="C69" s="9" t="inlineStr">
        <is>
          <t>Sep</t>
        </is>
      </c>
      <c r="D69" s="9" t="inlineStr">
        <is>
          <t>Mumbai</t>
        </is>
      </c>
      <c r="E69" s="63" t="n">
        <v>11096</v>
      </c>
      <c r="F69" s="63" t="n">
        <v>10294</v>
      </c>
      <c r="G69" s="63" t="n">
        <v>293</v>
      </c>
      <c r="H69" s="63" t="n">
        <v>125</v>
      </c>
      <c r="I69" s="63" t="n">
        <v>9876</v>
      </c>
      <c r="J69" s="63" t="n">
        <v>8819</v>
      </c>
      <c r="K69" s="63" t="n">
        <v>8592</v>
      </c>
      <c r="L69" s="63" t="n">
        <v>68</v>
      </c>
      <c r="M69" s="63" t="n">
        <v>99</v>
      </c>
      <c r="N69" s="63" t="n">
        <v>6112</v>
      </c>
      <c r="O69" s="63" t="n">
        <v>29097</v>
      </c>
      <c r="P69" s="63" t="n">
        <v>132</v>
      </c>
      <c r="Q69" s="63" t="n">
        <v>932</v>
      </c>
      <c r="R69" s="63" t="n">
        <v>23</v>
      </c>
      <c r="S69" s="63" t="n">
        <v>16</v>
      </c>
      <c r="T69" s="63" t="n">
        <v>33</v>
      </c>
      <c r="U69" s="63" t="n">
        <v>20</v>
      </c>
      <c r="V69" s="63" t="n">
        <v>14418960</v>
      </c>
    </row>
    <row r="70">
      <c r="A70" s="113" t="n">
        <v>39</v>
      </c>
      <c r="B70" s="114" t="n">
        <v>46286</v>
      </c>
      <c r="C70" s="9" t="inlineStr">
        <is>
          <t>Sep</t>
        </is>
      </c>
      <c r="D70" s="9" t="inlineStr">
        <is>
          <t>Bengaluru</t>
        </is>
      </c>
      <c r="E70" s="63" t="n">
        <v>9477</v>
      </c>
      <c r="F70" s="63" t="n">
        <v>8832</v>
      </c>
      <c r="G70" s="63" t="n">
        <v>221</v>
      </c>
      <c r="H70" s="63" t="n">
        <v>120</v>
      </c>
      <c r="I70" s="63" t="n">
        <v>8491</v>
      </c>
      <c r="J70" s="63" t="n">
        <v>7594</v>
      </c>
      <c r="K70" s="63" t="n">
        <v>7385</v>
      </c>
      <c r="L70" s="63" t="n">
        <v>68</v>
      </c>
      <c r="M70" s="63" t="n">
        <v>89</v>
      </c>
      <c r="N70" s="63" t="n">
        <v>5264</v>
      </c>
      <c r="O70" s="63" t="n">
        <v>25060</v>
      </c>
      <c r="P70" s="63" t="n">
        <v>118</v>
      </c>
      <c r="Q70" s="63" t="n">
        <v>831</v>
      </c>
      <c r="R70" s="63" t="n">
        <v>20</v>
      </c>
      <c r="S70" s="63" t="n">
        <v>15</v>
      </c>
      <c r="T70" s="63" t="n">
        <v>29</v>
      </c>
      <c r="U70" s="63" t="n">
        <v>18</v>
      </c>
      <c r="V70" s="63" t="n">
        <v>11972310</v>
      </c>
    </row>
    <row r="71">
      <c r="A71" s="113" t="n">
        <v>39</v>
      </c>
      <c r="B71" s="114" t="n">
        <v>46286</v>
      </c>
      <c r="C71" s="9" t="inlineStr">
        <is>
          <t>Sep</t>
        </is>
      </c>
      <c r="D71" s="9" t="inlineStr">
        <is>
          <t>Hyderabad</t>
        </is>
      </c>
      <c r="E71" s="63" t="n">
        <v>6235</v>
      </c>
      <c r="F71" s="63" t="n">
        <v>5802</v>
      </c>
      <c r="G71" s="63" t="n">
        <v>143</v>
      </c>
      <c r="H71" s="63" t="n">
        <v>68</v>
      </c>
      <c r="I71" s="63" t="n">
        <v>5591</v>
      </c>
      <c r="J71" s="63" t="n">
        <v>5018</v>
      </c>
      <c r="K71" s="63" t="n">
        <v>4885</v>
      </c>
      <c r="L71" s="63" t="n">
        <v>43</v>
      </c>
      <c r="M71" s="63" t="n">
        <v>53</v>
      </c>
      <c r="N71" s="63" t="n">
        <v>3459</v>
      </c>
      <c r="O71" s="63" t="n">
        <v>16432</v>
      </c>
      <c r="P71" s="63" t="n">
        <v>78</v>
      </c>
      <c r="Q71" s="63" t="n">
        <v>586</v>
      </c>
      <c r="R71" s="63" t="n">
        <v>16</v>
      </c>
      <c r="S71" s="63" t="n">
        <v>10</v>
      </c>
      <c r="T71" s="63" t="n">
        <v>18</v>
      </c>
      <c r="U71" s="63" t="n">
        <v>11</v>
      </c>
      <c r="V71" s="63" t="n">
        <v>7268300</v>
      </c>
    </row>
    <row r="72">
      <c r="A72" s="113" t="n">
        <v>39</v>
      </c>
      <c r="B72" s="114" t="n">
        <v>46286</v>
      </c>
      <c r="C72" s="9" t="inlineStr">
        <is>
          <t>Sep</t>
        </is>
      </c>
      <c r="D72" s="9" t="inlineStr">
        <is>
          <t>Pune</t>
        </is>
      </c>
      <c r="E72" s="63" t="n">
        <v>4640</v>
      </c>
      <c r="F72" s="63" t="n">
        <v>4356</v>
      </c>
      <c r="G72" s="63" t="n">
        <v>112</v>
      </c>
      <c r="H72" s="63" t="n">
        <v>52</v>
      </c>
      <c r="I72" s="63" t="n">
        <v>4192</v>
      </c>
      <c r="J72" s="63" t="n">
        <v>3725</v>
      </c>
      <c r="K72" s="63" t="n">
        <v>3628</v>
      </c>
      <c r="L72" s="63" t="n">
        <v>28</v>
      </c>
      <c r="M72" s="63" t="n">
        <v>42</v>
      </c>
      <c r="N72" s="63" t="n">
        <v>2577</v>
      </c>
      <c r="O72" s="63" t="n">
        <v>12242</v>
      </c>
      <c r="P72" s="63" t="n">
        <v>59</v>
      </c>
      <c r="Q72" s="63" t="n">
        <v>448</v>
      </c>
      <c r="R72" s="63" t="n">
        <v>11</v>
      </c>
      <c r="S72" s="63" t="n">
        <v>8</v>
      </c>
      <c r="T72" s="63" t="n">
        <v>16</v>
      </c>
      <c r="U72" s="63" t="n">
        <v>10</v>
      </c>
      <c r="V72" s="63" t="n">
        <v>5575360</v>
      </c>
    </row>
    <row r="73">
      <c r="A73" s="113" t="n">
        <v>39</v>
      </c>
      <c r="B73" s="114" t="n">
        <v>46286</v>
      </c>
      <c r="C73" s="9" t="inlineStr">
        <is>
          <t>Sep</t>
        </is>
      </c>
      <c r="D73" s="9" t="inlineStr">
        <is>
          <t>Rest of India</t>
        </is>
      </c>
      <c r="E73" s="63" t="n">
        <v>15757</v>
      </c>
      <c r="F73" s="63" t="n">
        <v>14760</v>
      </c>
      <c r="G73" s="63" t="n">
        <v>387</v>
      </c>
      <c r="H73" s="63" t="n">
        <v>198</v>
      </c>
      <c r="I73" s="63" t="n">
        <v>14175</v>
      </c>
      <c r="J73" s="63" t="n">
        <v>12802</v>
      </c>
      <c r="K73" s="63" t="n">
        <v>12437</v>
      </c>
      <c r="L73" s="63" t="n">
        <v>114</v>
      </c>
      <c r="M73" s="63" t="n">
        <v>140</v>
      </c>
      <c r="N73" s="63" t="n">
        <v>8800</v>
      </c>
      <c r="O73" s="63" t="n">
        <v>41717</v>
      </c>
      <c r="P73" s="63" t="n">
        <v>222</v>
      </c>
      <c r="Q73" s="63" t="n">
        <v>1635</v>
      </c>
      <c r="R73" s="63" t="n">
        <v>43</v>
      </c>
      <c r="S73" s="63" t="n">
        <v>31</v>
      </c>
      <c r="T73" s="63" t="n">
        <v>52</v>
      </c>
      <c r="U73" s="63" t="n">
        <v>32</v>
      </c>
      <c r="V73" s="63" t="n">
        <v>17577000</v>
      </c>
    </row>
    <row r="74">
      <c r="A74" s="113" t="n">
        <v>40</v>
      </c>
      <c r="B74" s="114" t="n">
        <v>46293</v>
      </c>
      <c r="C74" s="9" t="inlineStr">
        <is>
          <t>Oct</t>
        </is>
      </c>
      <c r="D74" s="9" t="inlineStr">
        <is>
          <t>Delhi</t>
        </is>
      </c>
      <c r="E74" s="63" t="n">
        <v>13203</v>
      </c>
      <c r="F74" s="63" t="n">
        <v>12234</v>
      </c>
      <c r="G74" s="63" t="n">
        <v>294</v>
      </c>
      <c r="H74" s="63" t="n">
        <v>131</v>
      </c>
      <c r="I74" s="63" t="n">
        <v>11809</v>
      </c>
      <c r="J74" s="63" t="n">
        <v>10539</v>
      </c>
      <c r="K74" s="63" t="n">
        <v>10245</v>
      </c>
      <c r="L74" s="63" t="n">
        <v>96</v>
      </c>
      <c r="M74" s="63" t="n">
        <v>122</v>
      </c>
      <c r="N74" s="63" t="n">
        <v>7368</v>
      </c>
      <c r="O74" s="63" t="n">
        <v>34855</v>
      </c>
      <c r="P74" s="63" t="n">
        <v>170</v>
      </c>
      <c r="Q74" s="63" t="n">
        <v>1221</v>
      </c>
      <c r="R74" s="63" t="n">
        <v>29</v>
      </c>
      <c r="S74" s="63" t="n">
        <v>29</v>
      </c>
      <c r="T74" s="63" t="n">
        <v>41</v>
      </c>
      <c r="U74" s="63" t="n">
        <v>26</v>
      </c>
      <c r="V74" s="63" t="n">
        <v>15824060</v>
      </c>
    </row>
    <row r="75">
      <c r="A75" s="113" t="n">
        <v>40</v>
      </c>
      <c r="B75" s="114" t="n">
        <v>46293</v>
      </c>
      <c r="C75" s="9" t="inlineStr">
        <is>
          <t>Oct</t>
        </is>
      </c>
      <c r="D75" s="9" t="inlineStr">
        <is>
          <t>Gurugram</t>
        </is>
      </c>
      <c r="E75" s="63" t="n">
        <v>9473</v>
      </c>
      <c r="F75" s="63" t="n">
        <v>8863</v>
      </c>
      <c r="G75" s="63" t="n">
        <v>239</v>
      </c>
      <c r="H75" s="63" t="n">
        <v>116</v>
      </c>
      <c r="I75" s="63" t="n">
        <v>8508</v>
      </c>
      <c r="J75" s="63" t="n">
        <v>7582</v>
      </c>
      <c r="K75" s="63" t="n">
        <v>7352</v>
      </c>
      <c r="L75" s="63" t="n">
        <v>77</v>
      </c>
      <c r="M75" s="63" t="n">
        <v>89</v>
      </c>
      <c r="N75" s="63" t="n">
        <v>5300</v>
      </c>
      <c r="O75" s="63" t="n">
        <v>25019</v>
      </c>
      <c r="P75" s="63" t="n">
        <v>138</v>
      </c>
      <c r="Q75" s="63" t="n">
        <v>854</v>
      </c>
      <c r="R75" s="63" t="n">
        <v>22</v>
      </c>
      <c r="S75" s="63" t="n">
        <v>21</v>
      </c>
      <c r="T75" s="63" t="n">
        <v>28</v>
      </c>
      <c r="U75" s="63" t="n">
        <v>17</v>
      </c>
      <c r="V75" s="63" t="n">
        <v>12081360</v>
      </c>
    </row>
    <row r="76">
      <c r="A76" s="113" t="n">
        <v>40</v>
      </c>
      <c r="B76" s="114" t="n">
        <v>46293</v>
      </c>
      <c r="C76" s="9" t="inlineStr">
        <is>
          <t>Oct</t>
        </is>
      </c>
      <c r="D76" s="9" t="inlineStr">
        <is>
          <t>Noida &amp; Ghaziabad</t>
        </is>
      </c>
      <c r="E76" s="63" t="n">
        <v>8618</v>
      </c>
      <c r="F76" s="63" t="n">
        <v>8115</v>
      </c>
      <c r="G76" s="63" t="n">
        <v>198</v>
      </c>
      <c r="H76" s="63" t="n">
        <v>101</v>
      </c>
      <c r="I76" s="63" t="n">
        <v>7816</v>
      </c>
      <c r="J76" s="63" t="n">
        <v>7024</v>
      </c>
      <c r="K76" s="63" t="n">
        <v>6832</v>
      </c>
      <c r="L76" s="63" t="n">
        <v>63</v>
      </c>
      <c r="M76" s="63" t="n">
        <v>76</v>
      </c>
      <c r="N76" s="63" t="n">
        <v>4847</v>
      </c>
      <c r="O76" s="63" t="n">
        <v>22930</v>
      </c>
      <c r="P76" s="63" t="n">
        <v>112</v>
      </c>
      <c r="Q76" s="63" t="n">
        <v>825</v>
      </c>
      <c r="R76" s="63" t="n">
        <v>19</v>
      </c>
      <c r="S76" s="63" t="n">
        <v>20</v>
      </c>
      <c r="T76" s="63" t="n">
        <v>26</v>
      </c>
      <c r="U76" s="63" t="n">
        <v>16</v>
      </c>
      <c r="V76" s="63" t="n">
        <v>10238960</v>
      </c>
    </row>
    <row r="77">
      <c r="A77" s="113" t="n">
        <v>40</v>
      </c>
      <c r="B77" s="114" t="n">
        <v>46293</v>
      </c>
      <c r="C77" s="9" t="inlineStr">
        <is>
          <t>Oct</t>
        </is>
      </c>
      <c r="D77" s="9" t="inlineStr">
        <is>
          <t>Mumbai</t>
        </is>
      </c>
      <c r="E77" s="63" t="n">
        <v>11226</v>
      </c>
      <c r="F77" s="63" t="n">
        <v>10386</v>
      </c>
      <c r="G77" s="63" t="n">
        <v>267</v>
      </c>
      <c r="H77" s="63" t="n">
        <v>118</v>
      </c>
      <c r="I77" s="63" t="n">
        <v>10001</v>
      </c>
      <c r="J77" s="63" t="n">
        <v>8864</v>
      </c>
      <c r="K77" s="63" t="n">
        <v>8619</v>
      </c>
      <c r="L77" s="63" t="n">
        <v>72</v>
      </c>
      <c r="M77" s="63" t="n">
        <v>106</v>
      </c>
      <c r="N77" s="63" t="n">
        <v>6133</v>
      </c>
      <c r="O77" s="63" t="n">
        <v>29074</v>
      </c>
      <c r="P77" s="63" t="n">
        <v>147</v>
      </c>
      <c r="Q77" s="63" t="n">
        <v>940</v>
      </c>
      <c r="R77" s="63" t="n">
        <v>26</v>
      </c>
      <c r="S77" s="63" t="n">
        <v>17</v>
      </c>
      <c r="T77" s="63" t="n">
        <v>34</v>
      </c>
      <c r="U77" s="63" t="n">
        <v>21</v>
      </c>
      <c r="V77" s="63" t="n">
        <v>14601460</v>
      </c>
    </row>
    <row r="78">
      <c r="A78" s="113" t="n">
        <v>40</v>
      </c>
      <c r="B78" s="114" t="n">
        <v>46293</v>
      </c>
      <c r="C78" s="9" t="inlineStr">
        <is>
          <t>Oct</t>
        </is>
      </c>
      <c r="D78" s="9" t="inlineStr">
        <is>
          <t>Bengaluru</t>
        </is>
      </c>
      <c r="E78" s="63" t="n">
        <v>9425</v>
      </c>
      <c r="F78" s="63" t="n">
        <v>8771</v>
      </c>
      <c r="G78" s="63" t="n">
        <v>209</v>
      </c>
      <c r="H78" s="63" t="n">
        <v>107</v>
      </c>
      <c r="I78" s="63" t="n">
        <v>8455</v>
      </c>
      <c r="J78" s="63" t="n">
        <v>7592</v>
      </c>
      <c r="K78" s="63" t="n">
        <v>7385</v>
      </c>
      <c r="L78" s="63" t="n">
        <v>69</v>
      </c>
      <c r="M78" s="63" t="n">
        <v>82</v>
      </c>
      <c r="N78" s="63" t="n">
        <v>5229</v>
      </c>
      <c r="O78" s="63" t="n">
        <v>24789</v>
      </c>
      <c r="P78" s="63" t="n">
        <v>121</v>
      </c>
      <c r="Q78" s="63" t="n">
        <v>825</v>
      </c>
      <c r="R78" s="63" t="n">
        <v>26</v>
      </c>
      <c r="S78" s="63" t="n">
        <v>17</v>
      </c>
      <c r="T78" s="63" t="n">
        <v>31</v>
      </c>
      <c r="U78" s="63" t="n">
        <v>19</v>
      </c>
      <c r="V78" s="63" t="n">
        <v>11921550</v>
      </c>
    </row>
    <row r="79">
      <c r="A79" s="113" t="n">
        <v>40</v>
      </c>
      <c r="B79" s="114" t="n">
        <v>46293</v>
      </c>
      <c r="C79" s="9" t="inlineStr">
        <is>
          <t>Oct</t>
        </is>
      </c>
      <c r="D79" s="9" t="inlineStr">
        <is>
          <t>Hyderabad</t>
        </is>
      </c>
      <c r="E79" s="63" t="n">
        <v>6466</v>
      </c>
      <c r="F79" s="63" t="n">
        <v>6071</v>
      </c>
      <c r="G79" s="63" t="n">
        <v>134</v>
      </c>
      <c r="H79" s="63" t="n">
        <v>75</v>
      </c>
      <c r="I79" s="63" t="n">
        <v>5862</v>
      </c>
      <c r="J79" s="63" t="n">
        <v>5235</v>
      </c>
      <c r="K79" s="63" t="n">
        <v>5092</v>
      </c>
      <c r="L79" s="63" t="n">
        <v>42</v>
      </c>
      <c r="M79" s="63" t="n">
        <v>56</v>
      </c>
      <c r="N79" s="63" t="n">
        <v>3685</v>
      </c>
      <c r="O79" s="63" t="n">
        <v>17432</v>
      </c>
      <c r="P79" s="63" t="n">
        <v>90</v>
      </c>
      <c r="Q79" s="63" t="n">
        <v>612</v>
      </c>
      <c r="R79" s="63" t="n">
        <v>15</v>
      </c>
      <c r="S79" s="63" t="n">
        <v>12</v>
      </c>
      <c r="T79" s="63" t="n">
        <v>23</v>
      </c>
      <c r="U79" s="63" t="n">
        <v>14</v>
      </c>
      <c r="V79" s="63" t="n">
        <v>7620600</v>
      </c>
    </row>
    <row r="80">
      <c r="A80" s="113" t="n">
        <v>40</v>
      </c>
      <c r="B80" s="114" t="n">
        <v>46293</v>
      </c>
      <c r="C80" s="9" t="inlineStr">
        <is>
          <t>Oct</t>
        </is>
      </c>
      <c r="D80" s="9" t="inlineStr">
        <is>
          <t>Pune</t>
        </is>
      </c>
      <c r="E80" s="63" t="n">
        <v>4789</v>
      </c>
      <c r="F80" s="63" t="n">
        <v>4507</v>
      </c>
      <c r="G80" s="63" t="n">
        <v>97</v>
      </c>
      <c r="H80" s="63" t="n">
        <v>49</v>
      </c>
      <c r="I80" s="63" t="n">
        <v>4361</v>
      </c>
      <c r="J80" s="63" t="n">
        <v>3911</v>
      </c>
      <c r="K80" s="63" t="n">
        <v>3808</v>
      </c>
      <c r="L80" s="63" t="n">
        <v>30</v>
      </c>
      <c r="M80" s="63" t="n">
        <v>41</v>
      </c>
      <c r="N80" s="63" t="n">
        <v>2682</v>
      </c>
      <c r="O80" s="63" t="n">
        <v>12688</v>
      </c>
      <c r="P80" s="63" t="n">
        <v>64</v>
      </c>
      <c r="Q80" s="63" t="n">
        <v>465</v>
      </c>
      <c r="R80" s="63" t="n">
        <v>12</v>
      </c>
      <c r="S80" s="63" t="n">
        <v>9</v>
      </c>
      <c r="T80" s="63" t="n">
        <v>17</v>
      </c>
      <c r="U80" s="63" t="n">
        <v>10</v>
      </c>
      <c r="V80" s="63" t="n">
        <v>5800130</v>
      </c>
    </row>
    <row r="81">
      <c r="A81" s="113" t="n">
        <v>40</v>
      </c>
      <c r="B81" s="114" t="n">
        <v>46293</v>
      </c>
      <c r="C81" s="9" t="inlineStr">
        <is>
          <t>Oct</t>
        </is>
      </c>
      <c r="D81" s="9" t="inlineStr">
        <is>
          <t>Rest of India</t>
        </is>
      </c>
      <c r="E81" s="63" t="n">
        <v>15900</v>
      </c>
      <c r="F81" s="63" t="n">
        <v>14774</v>
      </c>
      <c r="G81" s="63" t="n">
        <v>331</v>
      </c>
      <c r="H81" s="63" t="n">
        <v>188</v>
      </c>
      <c r="I81" s="63" t="n">
        <v>14255</v>
      </c>
      <c r="J81" s="63" t="n">
        <v>12787</v>
      </c>
      <c r="K81" s="63" t="n">
        <v>12424</v>
      </c>
      <c r="L81" s="63" t="n">
        <v>120</v>
      </c>
      <c r="M81" s="63" t="n">
        <v>139</v>
      </c>
      <c r="N81" s="63" t="n">
        <v>8889</v>
      </c>
      <c r="O81" s="63" t="n">
        <v>41962</v>
      </c>
      <c r="P81" s="63" t="n">
        <v>217</v>
      </c>
      <c r="Q81" s="63" t="n">
        <v>1638</v>
      </c>
      <c r="R81" s="63" t="n">
        <v>43</v>
      </c>
      <c r="S81" s="63" t="n">
        <v>37</v>
      </c>
      <c r="T81" s="63" t="n">
        <v>52</v>
      </c>
      <c r="U81" s="63" t="n">
        <v>33</v>
      </c>
      <c r="V81" s="63" t="n">
        <v>17676200</v>
      </c>
    </row>
    <row r="82">
      <c r="A82" s="113" t="n">
        <v>41</v>
      </c>
      <c r="B82" s="114" t="n">
        <v>46300</v>
      </c>
      <c r="C82" s="9" t="inlineStr">
        <is>
          <t>Oct</t>
        </is>
      </c>
      <c r="D82" s="9" t="inlineStr">
        <is>
          <t>Delhi</t>
        </is>
      </c>
      <c r="E82" s="63" t="n">
        <v>13676</v>
      </c>
      <c r="F82" s="63" t="n">
        <v>12906</v>
      </c>
      <c r="G82" s="63" t="n">
        <v>323</v>
      </c>
      <c r="H82" s="63" t="n">
        <v>171</v>
      </c>
      <c r="I82" s="63" t="n">
        <v>12412</v>
      </c>
      <c r="J82" s="63" t="n">
        <v>11029</v>
      </c>
      <c r="K82" s="63" t="n">
        <v>10738</v>
      </c>
      <c r="L82" s="63" t="n">
        <v>88</v>
      </c>
      <c r="M82" s="63" t="n">
        <v>124</v>
      </c>
      <c r="N82" s="63" t="n">
        <v>7719</v>
      </c>
      <c r="O82" s="63" t="n">
        <v>36594</v>
      </c>
      <c r="P82" s="63" t="n">
        <v>173</v>
      </c>
      <c r="Q82" s="63" t="n">
        <v>1282</v>
      </c>
      <c r="R82" s="63" t="n">
        <v>32</v>
      </c>
      <c r="S82" s="63" t="n">
        <v>28</v>
      </c>
      <c r="T82" s="63" t="n">
        <v>45</v>
      </c>
      <c r="U82" s="63" t="n">
        <v>28</v>
      </c>
      <c r="V82" s="63" t="n">
        <v>16632080</v>
      </c>
    </row>
    <row r="83">
      <c r="A83" s="113" t="n">
        <v>41</v>
      </c>
      <c r="B83" s="114" t="n">
        <v>46300</v>
      </c>
      <c r="C83" s="9" t="inlineStr">
        <is>
          <t>Oct</t>
        </is>
      </c>
      <c r="D83" s="9" t="inlineStr">
        <is>
          <t>Gurugram</t>
        </is>
      </c>
      <c r="E83" s="63" t="n">
        <v>9476</v>
      </c>
      <c r="F83" s="63" t="n">
        <v>8816</v>
      </c>
      <c r="G83" s="63" t="n">
        <v>218</v>
      </c>
      <c r="H83" s="63" t="n">
        <v>122</v>
      </c>
      <c r="I83" s="63" t="n">
        <v>8476</v>
      </c>
      <c r="J83" s="63" t="n">
        <v>7540</v>
      </c>
      <c r="K83" s="63" t="n">
        <v>7318</v>
      </c>
      <c r="L83" s="63" t="n">
        <v>74</v>
      </c>
      <c r="M83" s="63" t="n">
        <v>85</v>
      </c>
      <c r="N83" s="63" t="n">
        <v>5311</v>
      </c>
      <c r="O83" s="63" t="n">
        <v>25125</v>
      </c>
      <c r="P83" s="63" t="n">
        <v>135</v>
      </c>
      <c r="Q83" s="63" t="n">
        <v>850</v>
      </c>
      <c r="R83" s="63" t="n">
        <v>20</v>
      </c>
      <c r="S83" s="63" t="n">
        <v>18</v>
      </c>
      <c r="T83" s="63" t="n">
        <v>30</v>
      </c>
      <c r="U83" s="63" t="n">
        <v>19</v>
      </c>
      <c r="V83" s="63" t="n">
        <v>12035920</v>
      </c>
    </row>
    <row r="84">
      <c r="A84" s="113" t="n">
        <v>41</v>
      </c>
      <c r="B84" s="114" t="n">
        <v>46300</v>
      </c>
      <c r="C84" s="9" t="inlineStr">
        <is>
          <t>Oct</t>
        </is>
      </c>
      <c r="D84" s="9" t="inlineStr">
        <is>
          <t>Noida &amp; Ghaziabad</t>
        </is>
      </c>
      <c r="E84" s="63" t="n">
        <v>8826</v>
      </c>
      <c r="F84" s="63" t="n">
        <v>8172</v>
      </c>
      <c r="G84" s="63" t="n">
        <v>208</v>
      </c>
      <c r="H84" s="63" t="n">
        <v>118</v>
      </c>
      <c r="I84" s="63" t="n">
        <v>7846</v>
      </c>
      <c r="J84" s="63" t="n">
        <v>6948</v>
      </c>
      <c r="K84" s="63" t="n">
        <v>6747</v>
      </c>
      <c r="L84" s="63" t="n">
        <v>71</v>
      </c>
      <c r="M84" s="63" t="n">
        <v>80</v>
      </c>
      <c r="N84" s="63" t="n">
        <v>4851</v>
      </c>
      <c r="O84" s="63" t="n">
        <v>22997</v>
      </c>
      <c r="P84" s="63" t="n">
        <v>116</v>
      </c>
      <c r="Q84" s="63" t="n">
        <v>827</v>
      </c>
      <c r="R84" s="63" t="n">
        <v>18</v>
      </c>
      <c r="S84" s="63" t="n">
        <v>20</v>
      </c>
      <c r="T84" s="63" t="n">
        <v>30</v>
      </c>
      <c r="U84" s="63" t="n">
        <v>19</v>
      </c>
      <c r="V84" s="63" t="n">
        <v>10278260</v>
      </c>
    </row>
    <row r="85">
      <c r="A85" s="113" t="n">
        <v>41</v>
      </c>
      <c r="B85" s="114" t="n">
        <v>46300</v>
      </c>
      <c r="C85" s="9" t="inlineStr">
        <is>
          <t>Oct</t>
        </is>
      </c>
      <c r="D85" s="9" t="inlineStr">
        <is>
          <t>Mumbai</t>
        </is>
      </c>
      <c r="E85" s="63" t="n">
        <v>11247</v>
      </c>
      <c r="F85" s="63" t="n">
        <v>10337</v>
      </c>
      <c r="G85" s="63" t="n">
        <v>280</v>
      </c>
      <c r="H85" s="63" t="n">
        <v>123</v>
      </c>
      <c r="I85" s="63" t="n">
        <v>9934</v>
      </c>
      <c r="J85" s="63" t="n">
        <v>8848</v>
      </c>
      <c r="K85" s="63" t="n">
        <v>8606</v>
      </c>
      <c r="L85" s="63" t="n">
        <v>75</v>
      </c>
      <c r="M85" s="63" t="n">
        <v>106</v>
      </c>
      <c r="N85" s="63" t="n">
        <v>6073</v>
      </c>
      <c r="O85" s="63" t="n">
        <v>28851</v>
      </c>
      <c r="P85" s="63" t="n">
        <v>139</v>
      </c>
      <c r="Q85" s="63" t="n">
        <v>933</v>
      </c>
      <c r="R85" s="63" t="n">
        <v>27</v>
      </c>
      <c r="S85" s="63" t="n">
        <v>19</v>
      </c>
      <c r="T85" s="63" t="n">
        <v>30</v>
      </c>
      <c r="U85" s="63" t="n">
        <v>18</v>
      </c>
      <c r="V85" s="63" t="n">
        <v>14503640</v>
      </c>
    </row>
    <row r="86">
      <c r="A86" s="113" t="n">
        <v>41</v>
      </c>
      <c r="B86" s="114" t="n">
        <v>46300</v>
      </c>
      <c r="C86" s="9" t="inlineStr">
        <is>
          <t>Oct</t>
        </is>
      </c>
      <c r="D86" s="9" t="inlineStr">
        <is>
          <t>Bengaluru</t>
        </is>
      </c>
      <c r="E86" s="63" t="n">
        <v>9252</v>
      </c>
      <c r="F86" s="63" t="n">
        <v>8616</v>
      </c>
      <c r="G86" s="63" t="n">
        <v>226</v>
      </c>
      <c r="H86" s="63" t="n">
        <v>103</v>
      </c>
      <c r="I86" s="63" t="n">
        <v>8287</v>
      </c>
      <c r="J86" s="63" t="n">
        <v>7435</v>
      </c>
      <c r="K86" s="63" t="n">
        <v>7221</v>
      </c>
      <c r="L86" s="63" t="n">
        <v>71</v>
      </c>
      <c r="M86" s="63" t="n">
        <v>90</v>
      </c>
      <c r="N86" s="63" t="n">
        <v>5017</v>
      </c>
      <c r="O86" s="63" t="n">
        <v>23834</v>
      </c>
      <c r="P86" s="63" t="n">
        <v>119</v>
      </c>
      <c r="Q86" s="63" t="n">
        <v>808</v>
      </c>
      <c r="R86" s="63" t="n">
        <v>18</v>
      </c>
      <c r="S86" s="63" t="n">
        <v>16</v>
      </c>
      <c r="T86" s="63" t="n">
        <v>27</v>
      </c>
      <c r="U86" s="63" t="n">
        <v>17</v>
      </c>
      <c r="V86" s="63" t="n">
        <v>11684670</v>
      </c>
    </row>
    <row r="87">
      <c r="A87" s="113" t="n">
        <v>41</v>
      </c>
      <c r="B87" s="114" t="n">
        <v>46300</v>
      </c>
      <c r="C87" s="9" t="inlineStr">
        <is>
          <t>Oct</t>
        </is>
      </c>
      <c r="D87" s="9" t="inlineStr">
        <is>
          <t>Hyderabad</t>
        </is>
      </c>
      <c r="E87" s="63" t="n">
        <v>6462</v>
      </c>
      <c r="F87" s="63" t="n">
        <v>6038</v>
      </c>
      <c r="G87" s="63" t="n">
        <v>137</v>
      </c>
      <c r="H87" s="63" t="n">
        <v>73</v>
      </c>
      <c r="I87" s="63" t="n">
        <v>5828</v>
      </c>
      <c r="J87" s="63" t="n">
        <v>5229</v>
      </c>
      <c r="K87" s="63" t="n">
        <v>5078</v>
      </c>
      <c r="L87" s="63" t="n">
        <v>46</v>
      </c>
      <c r="M87" s="63" t="n">
        <v>58</v>
      </c>
      <c r="N87" s="63" t="n">
        <v>3654</v>
      </c>
      <c r="O87" s="63" t="n">
        <v>17323</v>
      </c>
      <c r="P87" s="63" t="n">
        <v>94</v>
      </c>
      <c r="Q87" s="63" t="n">
        <v>608</v>
      </c>
      <c r="R87" s="63" t="n">
        <v>16</v>
      </c>
      <c r="S87" s="63" t="n">
        <v>13</v>
      </c>
      <c r="T87" s="63" t="n">
        <v>19</v>
      </c>
      <c r="U87" s="63" t="n">
        <v>12</v>
      </c>
      <c r="V87" s="63" t="n">
        <v>7576400</v>
      </c>
    </row>
    <row r="88">
      <c r="A88" s="113" t="n">
        <v>41</v>
      </c>
      <c r="B88" s="114" t="n">
        <v>46300</v>
      </c>
      <c r="C88" s="9" t="inlineStr">
        <is>
          <t>Oct</t>
        </is>
      </c>
      <c r="D88" s="9" t="inlineStr">
        <is>
          <t>Pune</t>
        </is>
      </c>
      <c r="E88" s="63" t="n">
        <v>4828</v>
      </c>
      <c r="F88" s="63" t="n">
        <v>4514</v>
      </c>
      <c r="G88" s="63" t="n">
        <v>114</v>
      </c>
      <c r="H88" s="63" t="n">
        <v>59</v>
      </c>
      <c r="I88" s="63" t="n">
        <v>4341</v>
      </c>
      <c r="J88" s="63" t="n">
        <v>3892</v>
      </c>
      <c r="K88" s="63" t="n">
        <v>3788</v>
      </c>
      <c r="L88" s="63" t="n">
        <v>32</v>
      </c>
      <c r="M88" s="63" t="n">
        <v>40</v>
      </c>
      <c r="N88" s="63" t="n">
        <v>2686</v>
      </c>
      <c r="O88" s="63" t="n">
        <v>12734</v>
      </c>
      <c r="P88" s="63" t="n">
        <v>64</v>
      </c>
      <c r="Q88" s="63" t="n">
        <v>462</v>
      </c>
      <c r="R88" s="63" t="n">
        <v>12</v>
      </c>
      <c r="S88" s="63" t="n">
        <v>8</v>
      </c>
      <c r="T88" s="63" t="n">
        <v>15</v>
      </c>
      <c r="U88" s="63" t="n">
        <v>10</v>
      </c>
      <c r="V88" s="63" t="n">
        <v>5773530</v>
      </c>
    </row>
    <row r="89">
      <c r="A89" s="113" t="n">
        <v>41</v>
      </c>
      <c r="B89" s="114" t="n">
        <v>46300</v>
      </c>
      <c r="C89" s="9" t="inlineStr">
        <is>
          <t>Oct</t>
        </is>
      </c>
      <c r="D89" s="9" t="inlineStr">
        <is>
          <t>Rest of India</t>
        </is>
      </c>
      <c r="E89" s="63" t="n">
        <v>16133</v>
      </c>
      <c r="F89" s="63" t="n">
        <v>14908</v>
      </c>
      <c r="G89" s="63" t="n">
        <v>344</v>
      </c>
      <c r="H89" s="63" t="n">
        <v>188</v>
      </c>
      <c r="I89" s="63" t="n">
        <v>14376</v>
      </c>
      <c r="J89" s="63" t="n">
        <v>12785</v>
      </c>
      <c r="K89" s="63" t="n">
        <v>12424</v>
      </c>
      <c r="L89" s="63" t="n">
        <v>122</v>
      </c>
      <c r="M89" s="63" t="n">
        <v>132</v>
      </c>
      <c r="N89" s="63" t="n">
        <v>9019</v>
      </c>
      <c r="O89" s="63" t="n">
        <v>42666</v>
      </c>
      <c r="P89" s="63" t="n">
        <v>224</v>
      </c>
      <c r="Q89" s="63" t="n">
        <v>1650</v>
      </c>
      <c r="R89" s="63" t="n">
        <v>42</v>
      </c>
      <c r="S89" s="63" t="n">
        <v>34</v>
      </c>
      <c r="T89" s="63" t="n">
        <v>52</v>
      </c>
      <c r="U89" s="63" t="n">
        <v>33</v>
      </c>
      <c r="V89" s="63" t="n">
        <v>17826240</v>
      </c>
    </row>
    <row r="90">
      <c r="A90" s="113" t="n">
        <v>42</v>
      </c>
      <c r="B90" s="114" t="n">
        <v>46307</v>
      </c>
      <c r="C90" s="9" t="inlineStr">
        <is>
          <t>Oct</t>
        </is>
      </c>
      <c r="D90" s="9" t="inlineStr">
        <is>
          <t>Delhi</t>
        </is>
      </c>
      <c r="E90" s="63" t="n">
        <v>13828</v>
      </c>
      <c r="F90" s="63" t="n">
        <v>12763</v>
      </c>
      <c r="G90" s="63" t="n">
        <v>338</v>
      </c>
      <c r="H90" s="63" t="n">
        <v>162</v>
      </c>
      <c r="I90" s="63" t="n">
        <v>12263</v>
      </c>
      <c r="J90" s="63" t="n">
        <v>10853</v>
      </c>
      <c r="K90" s="63" t="n">
        <v>10538</v>
      </c>
      <c r="L90" s="63" t="n">
        <v>99</v>
      </c>
      <c r="M90" s="63" t="n">
        <v>128</v>
      </c>
      <c r="N90" s="63" t="n">
        <v>7723</v>
      </c>
      <c r="O90" s="63" t="n">
        <v>36452</v>
      </c>
      <c r="P90" s="63" t="n">
        <v>191</v>
      </c>
      <c r="Q90" s="63" t="n">
        <v>1281</v>
      </c>
      <c r="R90" s="63" t="n">
        <v>31</v>
      </c>
      <c r="S90" s="63" t="n">
        <v>44</v>
      </c>
      <c r="T90" s="63" t="n">
        <v>45</v>
      </c>
      <c r="U90" s="63" t="n">
        <v>30</v>
      </c>
      <c r="V90" s="63" t="n">
        <v>16432420</v>
      </c>
    </row>
    <row r="91">
      <c r="A91" s="113" t="n">
        <v>42</v>
      </c>
      <c r="B91" s="114" t="n">
        <v>46307</v>
      </c>
      <c r="C91" s="9" t="inlineStr">
        <is>
          <t>Oct</t>
        </is>
      </c>
      <c r="D91" s="9" t="inlineStr">
        <is>
          <t>Gurugram</t>
        </is>
      </c>
      <c r="E91" s="63" t="n">
        <v>9790</v>
      </c>
      <c r="F91" s="63" t="n">
        <v>8899</v>
      </c>
      <c r="G91" s="63" t="n">
        <v>277</v>
      </c>
      <c r="H91" s="63" t="n">
        <v>263</v>
      </c>
      <c r="I91" s="63" t="n">
        <v>8359</v>
      </c>
      <c r="J91" s="63" t="n">
        <v>7286</v>
      </c>
      <c r="K91" s="63" t="n">
        <v>6931</v>
      </c>
      <c r="L91" s="63" t="n">
        <v>164</v>
      </c>
      <c r="M91" s="63" t="n">
        <v>94</v>
      </c>
      <c r="N91" s="63" t="n">
        <v>5134</v>
      </c>
      <c r="O91" s="63" t="n">
        <v>24236</v>
      </c>
      <c r="P91" s="63" t="n">
        <v>221</v>
      </c>
      <c r="Q91" s="63" t="n">
        <v>847</v>
      </c>
      <c r="R91" s="63" t="n">
        <v>21</v>
      </c>
      <c r="S91" s="63" t="n">
        <v>58</v>
      </c>
      <c r="T91" s="63" t="n">
        <v>28</v>
      </c>
      <c r="U91" s="63" t="n">
        <v>18</v>
      </c>
      <c r="V91" s="63" t="n">
        <v>11869780</v>
      </c>
    </row>
    <row r="92">
      <c r="A92" s="113" t="n">
        <v>42</v>
      </c>
      <c r="B92" s="114" t="n">
        <v>46307</v>
      </c>
      <c r="C92" s="9" t="inlineStr">
        <is>
          <t>Oct</t>
        </is>
      </c>
      <c r="D92" s="9" t="inlineStr">
        <is>
          <t>Noida &amp; Ghaziabad</t>
        </is>
      </c>
      <c r="E92" s="63" t="n">
        <v>8856</v>
      </c>
      <c r="F92" s="63" t="n">
        <v>8254</v>
      </c>
      <c r="G92" s="63" t="n">
        <v>234</v>
      </c>
      <c r="H92" s="63" t="n">
        <v>204</v>
      </c>
      <c r="I92" s="63" t="n">
        <v>7816</v>
      </c>
      <c r="J92" s="63" t="n">
        <v>6880</v>
      </c>
      <c r="K92" s="63" t="n">
        <v>6646</v>
      </c>
      <c r="L92" s="63" t="n">
        <v>87</v>
      </c>
      <c r="M92" s="63" t="n">
        <v>85</v>
      </c>
      <c r="N92" s="63" t="n">
        <v>4852</v>
      </c>
      <c r="O92" s="63" t="n">
        <v>22901</v>
      </c>
      <c r="P92" s="63" t="n">
        <v>141</v>
      </c>
      <c r="Q92" s="63" t="n">
        <v>833</v>
      </c>
      <c r="R92" s="63" t="n">
        <v>25</v>
      </c>
      <c r="S92" s="63" t="n">
        <v>43</v>
      </c>
      <c r="T92" s="63" t="n">
        <v>27</v>
      </c>
      <c r="U92" s="63" t="n">
        <v>17</v>
      </c>
      <c r="V92" s="63" t="n">
        <v>10238960</v>
      </c>
    </row>
    <row r="93">
      <c r="A93" s="113" t="n">
        <v>42</v>
      </c>
      <c r="B93" s="114" t="n">
        <v>46307</v>
      </c>
      <c r="C93" s="9" t="inlineStr">
        <is>
          <t>Oct</t>
        </is>
      </c>
      <c r="D93" s="9" t="inlineStr">
        <is>
          <t>Mumbai</t>
        </is>
      </c>
      <c r="E93" s="63" t="n">
        <v>11359</v>
      </c>
      <c r="F93" s="63" t="n">
        <v>10025</v>
      </c>
      <c r="G93" s="63" t="n">
        <v>374</v>
      </c>
      <c r="H93" s="63" t="n">
        <v>130</v>
      </c>
      <c r="I93" s="63" t="n">
        <v>9521</v>
      </c>
      <c r="J93" s="63" t="n">
        <v>8353</v>
      </c>
      <c r="K93" s="63" t="n">
        <v>8105</v>
      </c>
      <c r="L93" s="63" t="n">
        <v>76</v>
      </c>
      <c r="M93" s="63" t="n">
        <v>105</v>
      </c>
      <c r="N93" s="63" t="n">
        <v>5935</v>
      </c>
      <c r="O93" s="63" t="n">
        <v>28013</v>
      </c>
      <c r="P93" s="63" t="n">
        <v>151</v>
      </c>
      <c r="Q93" s="63" t="n">
        <v>904</v>
      </c>
      <c r="R93" s="63" t="n">
        <v>26</v>
      </c>
      <c r="S93" s="63" t="n">
        <v>20</v>
      </c>
      <c r="T93" s="63" t="n">
        <v>33</v>
      </c>
      <c r="U93" s="63" t="n">
        <v>21</v>
      </c>
      <c r="V93" s="63" t="n">
        <v>13900660</v>
      </c>
    </row>
    <row r="94">
      <c r="A94" s="113" t="n">
        <v>42</v>
      </c>
      <c r="B94" s="114" t="n">
        <v>46307</v>
      </c>
      <c r="C94" s="9" t="inlineStr">
        <is>
          <t>Oct</t>
        </is>
      </c>
      <c r="D94" s="9" t="inlineStr">
        <is>
          <t>Bengaluru</t>
        </is>
      </c>
      <c r="E94" s="63" t="n">
        <v>9640</v>
      </c>
      <c r="F94" s="63" t="n">
        <v>8565</v>
      </c>
      <c r="G94" s="63" t="n">
        <v>247</v>
      </c>
      <c r="H94" s="63" t="n">
        <v>117</v>
      </c>
      <c r="I94" s="63" t="n">
        <v>8201</v>
      </c>
      <c r="J94" s="63" t="n">
        <v>7156</v>
      </c>
      <c r="K94" s="63" t="n">
        <v>6944</v>
      </c>
      <c r="L94" s="63" t="n">
        <v>69</v>
      </c>
      <c r="M94" s="63" t="n">
        <v>97</v>
      </c>
      <c r="N94" s="63" t="n">
        <v>4984</v>
      </c>
      <c r="O94" s="63" t="n">
        <v>23524</v>
      </c>
      <c r="P94" s="63" t="n">
        <v>120</v>
      </c>
      <c r="Q94" s="63" t="n">
        <v>808</v>
      </c>
      <c r="R94" s="63" t="n">
        <v>24</v>
      </c>
      <c r="S94" s="63" t="n">
        <v>18</v>
      </c>
      <c r="T94" s="63" t="n">
        <v>31</v>
      </c>
      <c r="U94" s="63" t="n">
        <v>19</v>
      </c>
      <c r="V94" s="63" t="n">
        <v>11563410</v>
      </c>
    </row>
    <row r="95">
      <c r="A95" s="113" t="n">
        <v>42</v>
      </c>
      <c r="B95" s="114" t="n">
        <v>46307</v>
      </c>
      <c r="C95" s="9" t="inlineStr">
        <is>
          <t>Oct</t>
        </is>
      </c>
      <c r="D95" s="9" t="inlineStr">
        <is>
          <t>Hyderabad</t>
        </is>
      </c>
      <c r="E95" s="63" t="n">
        <v>6553</v>
      </c>
      <c r="F95" s="63" t="n">
        <v>6200</v>
      </c>
      <c r="G95" s="63" t="n">
        <v>169</v>
      </c>
      <c r="H95" s="63" t="n">
        <v>69</v>
      </c>
      <c r="I95" s="63" t="n">
        <v>5962</v>
      </c>
      <c r="J95" s="63" t="n">
        <v>5400</v>
      </c>
      <c r="K95" s="63" t="n">
        <v>5238</v>
      </c>
      <c r="L95" s="63" t="n">
        <v>42</v>
      </c>
      <c r="M95" s="63" t="n">
        <v>71</v>
      </c>
      <c r="N95" s="63" t="n">
        <v>3756</v>
      </c>
      <c r="O95" s="63" t="n">
        <v>17728</v>
      </c>
      <c r="P95" s="63" t="n">
        <v>97</v>
      </c>
      <c r="Q95" s="63" t="n">
        <v>629</v>
      </c>
      <c r="R95" s="63" t="n">
        <v>17</v>
      </c>
      <c r="S95" s="63" t="n">
        <v>13</v>
      </c>
      <c r="T95" s="63" t="n">
        <v>22</v>
      </c>
      <c r="U95" s="63" t="n">
        <v>13</v>
      </c>
      <c r="V95" s="63" t="n">
        <v>7750600</v>
      </c>
    </row>
    <row r="96">
      <c r="A96" s="113" t="n">
        <v>42</v>
      </c>
      <c r="B96" s="114" t="n">
        <v>46307</v>
      </c>
      <c r="C96" s="9" t="inlineStr">
        <is>
          <t>Oct</t>
        </is>
      </c>
      <c r="D96" s="9" t="inlineStr">
        <is>
          <t>Pune</t>
        </is>
      </c>
      <c r="E96" s="63" t="n">
        <v>4773</v>
      </c>
      <c r="F96" s="63" t="n">
        <v>4460</v>
      </c>
      <c r="G96" s="63" t="n">
        <v>123</v>
      </c>
      <c r="H96" s="63" t="n">
        <v>52</v>
      </c>
      <c r="I96" s="63" t="n">
        <v>4285</v>
      </c>
      <c r="J96" s="63" t="n">
        <v>3795</v>
      </c>
      <c r="K96" s="63" t="n">
        <v>3692</v>
      </c>
      <c r="L96" s="63" t="n">
        <v>29</v>
      </c>
      <c r="M96" s="63" t="n">
        <v>40</v>
      </c>
      <c r="N96" s="63" t="n">
        <v>2621</v>
      </c>
      <c r="O96" s="63" t="n">
        <v>12371</v>
      </c>
      <c r="P96" s="63" t="n">
        <v>67</v>
      </c>
      <c r="Q96" s="63" t="n">
        <v>461</v>
      </c>
      <c r="R96" s="63" t="n">
        <v>15</v>
      </c>
      <c r="S96" s="63" t="n">
        <v>8</v>
      </c>
      <c r="T96" s="63" t="n">
        <v>15</v>
      </c>
      <c r="U96" s="63" t="n">
        <v>10</v>
      </c>
      <c r="V96" s="63" t="n">
        <v>5699050</v>
      </c>
    </row>
    <row r="97">
      <c r="A97" s="113" t="n">
        <v>42</v>
      </c>
      <c r="B97" s="114" t="n">
        <v>46307</v>
      </c>
      <c r="C97" s="9" t="inlineStr">
        <is>
          <t>Oct</t>
        </is>
      </c>
      <c r="D97" s="9" t="inlineStr">
        <is>
          <t>Rest of India</t>
        </is>
      </c>
      <c r="E97" s="63" t="n">
        <v>16601</v>
      </c>
      <c r="F97" s="63" t="n">
        <v>15396</v>
      </c>
      <c r="G97" s="63" t="n">
        <v>403</v>
      </c>
      <c r="H97" s="63" t="n">
        <v>200</v>
      </c>
      <c r="I97" s="63" t="n">
        <v>14793</v>
      </c>
      <c r="J97" s="63" t="n">
        <v>13218</v>
      </c>
      <c r="K97" s="63" t="n">
        <v>12805</v>
      </c>
      <c r="L97" s="63" t="n">
        <v>132</v>
      </c>
      <c r="M97" s="63" t="n">
        <v>163</v>
      </c>
      <c r="N97" s="63" t="n">
        <v>9139</v>
      </c>
      <c r="O97" s="63" t="n">
        <v>43135</v>
      </c>
      <c r="P97" s="63" t="n">
        <v>248</v>
      </c>
      <c r="Q97" s="63" t="n">
        <v>1717</v>
      </c>
      <c r="R97" s="63" t="n">
        <v>51</v>
      </c>
      <c r="S97" s="63" t="n">
        <v>35</v>
      </c>
      <c r="T97" s="63" t="n">
        <v>59</v>
      </c>
      <c r="U97" s="63" t="n">
        <v>38</v>
      </c>
      <c r="V97" s="63" t="n">
        <v>18343320</v>
      </c>
    </row>
    <row r="99">
      <c r="A99" s="19" t="inlineStr">
        <is>
          <t>Source: ops app weekly extract by city (mock). One row per city per week. Every KPI in this workbook is built from these counts with SUMIFS, then divided. Rates are never averaged.</t>
        </is>
      </c>
    </row>
  </sheetData>
  <autoFilter ref="A1:V97"/>
  <pageMargins left="0.75" right="0.75" top="1" bottom="1" header="0.5" footer="0.5"/>
  <pageSetup orientation="landscape" fitToHeight="0" fitToWidth="1"/>
</worksheet>
</file>

<file path=xl/worksheets/sheet14.xml><?xml version="1.0" encoding="utf-8"?>
<worksheet xmlns="http://schemas.openxmlformats.org/spreadsheetml/2006/main">
  <sheetPr>
    <tabColor rgb="009CA3AF"/>
    <outlinePr summaryBelow="1" summaryRight="1"/>
    <pageSetUpPr fitToPage="1"/>
  </sheetPr>
  <dimension ref="A1:S30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18" customWidth="1" min="3" max="3"/>
    <col width="8" customWidth="1" min="4" max="4"/>
    <col width="10" customWidth="1" min="5" max="5"/>
    <col width="18" customWidth="1" min="6" max="6"/>
    <col width="8" customWidth="1" min="7" max="7"/>
    <col width="20" customWidth="1" min="8" max="8"/>
    <col width="8" customWidth="1" min="9" max="9"/>
    <col width="7" customWidth="1" min="10" max="10"/>
    <col width="10" customWidth="1" min="11" max="11"/>
    <col width="12" customWidth="1" min="12" max="12"/>
    <col width="3" customWidth="1" min="13" max="13"/>
    <col width="18" customWidth="1" min="14" max="14"/>
    <col width="10" customWidth="1" min="15" max="15"/>
    <col width="11" customWidth="1" min="16" max="16"/>
    <col width="12" customWidth="1" min="17" max="17"/>
    <col width="11" customWidth="1" min="18" max="18"/>
    <col width="11" customWidth="1" min="19" max="19"/>
  </cols>
  <sheetData>
    <row r="1" ht="30" customHeight="1">
      <c r="A1" s="25" t="inlineStr">
        <is>
          <t>Booking ID</t>
        </is>
      </c>
      <c r="B1" s="26" t="inlineStr">
        <is>
          <t>Service date</t>
        </is>
      </c>
      <c r="C1" s="26" t="inlineStr">
        <is>
          <t>City</t>
        </is>
      </c>
      <c r="D1" s="26" t="inlineStr">
        <is>
          <t>Hub</t>
        </is>
      </c>
      <c r="E1" s="26" t="inlineStr">
        <is>
          <t>Partner ID</t>
        </is>
      </c>
      <c r="F1" s="26" t="inlineStr">
        <is>
          <t>Service</t>
        </is>
      </c>
      <c r="G1" s="26" t="inlineStr">
        <is>
          <t>Slot</t>
        </is>
      </c>
      <c r="H1" s="26" t="inlineStr">
        <is>
          <t>Status</t>
        </is>
      </c>
      <c r="I1" s="26" t="inlineStr">
        <is>
          <t>On time</t>
        </is>
      </c>
      <c r="J1" s="26" t="inlineStr">
        <is>
          <t>Rating</t>
        </is>
      </c>
      <c r="K1" s="26" t="inlineStr">
        <is>
          <t>Complaint</t>
        </is>
      </c>
      <c r="L1" s="26" t="inlineStr">
        <is>
          <t>Note</t>
        </is>
      </c>
      <c r="M1" s="115" t="inlineStr">
        <is>
          <t>First of ID</t>
        </is>
      </c>
      <c r="N1" s="21" t="inlineStr">
        <is>
          <t>Sample summary, each booking ID counted once (COUNTIFS / AVERAGEIFS)</t>
        </is>
      </c>
    </row>
    <row r="2" ht="30" customHeight="1">
      <c r="A2" s="9" t="inlineStr">
        <is>
          <t>YM2610128602</t>
        </is>
      </c>
      <c r="B2" s="114" t="n">
        <v>46308</v>
      </c>
      <c r="C2" s="9" t="inlineStr">
        <is>
          <t>Noida &amp; Ghaziabad</t>
        </is>
      </c>
      <c r="D2" s="9" t="inlineStr">
        <is>
          <t>GZB-1</t>
        </is>
      </c>
      <c r="E2" s="9" t="inlineStr">
        <is>
          <t>P-17035</t>
        </is>
      </c>
      <c r="F2" s="9" t="inlineStr">
        <is>
          <t>Waxing</t>
        </is>
      </c>
      <c r="G2" s="9" t="inlineStr">
        <is>
          <t>17–20</t>
        </is>
      </c>
      <c r="H2" s="9" t="inlineStr">
        <is>
          <t>Completed</t>
        </is>
      </c>
      <c r="I2" s="9" t="inlineStr">
        <is>
          <t>Y</t>
        </is>
      </c>
      <c r="J2" s="9" t="n">
        <v>5</v>
      </c>
      <c r="K2" s="9" t="inlineStr">
        <is>
          <t>N</t>
        </is>
      </c>
      <c r="L2" s="9" t="n"/>
      <c r="M2" s="116">
        <f>--(COUNTIF($A$2:A2,A2)=1)</f>
        <v>1</v>
      </c>
      <c r="N2" s="25" t="inlineStr">
        <is>
          <t>City</t>
        </is>
      </c>
      <c r="O2" s="26" t="inlineStr">
        <is>
          <t>Bookings</t>
        </is>
      </c>
      <c r="P2" s="26" t="inlineStr">
        <is>
          <t>Completed</t>
        </is>
      </c>
      <c r="Q2" s="26" t="inlineStr">
        <is>
          <t>Completion</t>
        </is>
      </c>
      <c r="R2" s="26" t="inlineStr">
        <is>
          <t>Avg rating</t>
        </is>
      </c>
      <c r="S2" s="26" t="inlineStr">
        <is>
          <t>Complaints</t>
        </is>
      </c>
    </row>
    <row r="3">
      <c r="A3" s="9" t="inlineStr">
        <is>
          <t>YM2610129108</t>
        </is>
      </c>
      <c r="B3" s="114" t="n">
        <v>46310</v>
      </c>
      <c r="C3" s="9" t="inlineStr">
        <is>
          <t>Delhi</t>
        </is>
      </c>
      <c r="D3" s="9" t="inlineStr">
        <is>
          <t>DEL-3</t>
        </is>
      </c>
      <c r="E3" s="9" t="inlineStr">
        <is>
          <t>P-29187</t>
        </is>
      </c>
      <c r="F3" s="9" t="inlineStr">
        <is>
          <t>Facial &amp; clean-up</t>
        </is>
      </c>
      <c r="G3" s="9" t="inlineStr">
        <is>
          <t>17–20</t>
        </is>
      </c>
      <c r="H3" s="9" t="inlineStr">
        <is>
          <t>Completed</t>
        </is>
      </c>
      <c r="I3" s="9" t="inlineStr">
        <is>
          <t>N</t>
        </is>
      </c>
      <c r="J3" s="9" t="n">
        <v>5</v>
      </c>
      <c r="K3" s="9" t="inlineStr">
        <is>
          <t>N</t>
        </is>
      </c>
      <c r="L3" s="9" t="n"/>
      <c r="M3" s="116">
        <f>--(COUNTIF($A$2:A3,A3)=1)</f>
        <v>1</v>
      </c>
      <c r="N3" s="9" t="inlineStr">
        <is>
          <t>Delhi</t>
        </is>
      </c>
      <c r="O3" s="113">
        <f>COUNTIFS($C$2:$C$301,N3,$M$2:$M$301,1)</f>
        <v>54</v>
      </c>
      <c r="P3" s="113">
        <f>COUNTIFS($C$2:$C$301,N3,$H$2:$H$301,"Completed",$M$2:$M$301,1)</f>
        <v>51</v>
      </c>
      <c r="Q3" s="80">
        <f>IFERROR(P3/O3,0)</f>
        <v>0.944444444444444</v>
      </c>
      <c r="R3" s="117">
        <f>IFERROR(AVERAGEIFS($J$2:$J$301,$C$2:$C$301,N3,$M$2:$M$301,1),0)</f>
        <v>4.81818181818182</v>
      </c>
      <c r="S3" s="113">
        <f>COUNTIFS($C$2:$C$301,N3,$K$2:$K$301,"Y",$M$2:$M$301,1)</f>
        <v>0</v>
      </c>
    </row>
    <row r="4">
      <c r="A4" s="9" t="inlineStr">
        <is>
          <t>YM2610144688</t>
        </is>
      </c>
      <c r="B4" s="114" t="n">
        <v>46309</v>
      </c>
      <c r="C4" s="9" t="inlineStr">
        <is>
          <t>Rest of India</t>
        </is>
      </c>
      <c r="D4" s="9" t="inlineStr">
        <is>
          <t>JAI-1</t>
        </is>
      </c>
      <c r="E4" s="9" t="inlineStr">
        <is>
          <t>P-29057</t>
        </is>
      </c>
      <c r="F4" s="9" t="inlineStr">
        <is>
          <t>Hair care</t>
        </is>
      </c>
      <c r="G4" s="9" t="inlineStr">
        <is>
          <t>8–11</t>
        </is>
      </c>
      <c r="H4" s="9" t="inlineStr">
        <is>
          <t>Completed</t>
        </is>
      </c>
      <c r="I4" s="9" t="inlineStr">
        <is>
          <t>Y</t>
        </is>
      </c>
      <c r="J4" s="9" t="n">
        <v>4</v>
      </c>
      <c r="K4" s="9" t="inlineStr">
        <is>
          <t>N</t>
        </is>
      </c>
      <c r="L4" s="9" t="n"/>
      <c r="M4" s="116">
        <f>--(COUNTIF($A$2:A4,A4)=1)</f>
        <v>1</v>
      </c>
      <c r="N4" s="9" t="inlineStr">
        <is>
          <t>Gurugram</t>
        </is>
      </c>
      <c r="O4" s="113">
        <f>COUNTIFS($C$2:$C$301,N4,$M$2:$M$301,1)</f>
        <v>38</v>
      </c>
      <c r="P4" s="113">
        <f>COUNTIFS($C$2:$C$301,N4,$H$2:$H$301,"Completed",$M$2:$M$301,1)</f>
        <v>34</v>
      </c>
      <c r="Q4" s="80">
        <f>IFERROR(P4/O4,0)</f>
        <v>0.894736842105263</v>
      </c>
      <c r="R4" s="117">
        <f>IFERROR(AVERAGEIFS($J$2:$J$301,$C$2:$C$301,N4,$M$2:$M$301,1),0)</f>
        <v>4.75</v>
      </c>
      <c r="S4" s="113">
        <f>COUNTIFS($C$2:$C$301,N4,$K$2:$K$301,"Y",$M$2:$M$301,1)</f>
        <v>0</v>
      </c>
    </row>
    <row r="5">
      <c r="A5" s="9" t="inlineStr">
        <is>
          <t>YM2610182027</t>
        </is>
      </c>
      <c r="B5" s="114" t="n">
        <v>46311</v>
      </c>
      <c r="C5" s="9" t="inlineStr">
        <is>
          <t>Hyderabad</t>
        </is>
      </c>
      <c r="D5" s="9" t="inlineStr">
        <is>
          <t>HYD-1</t>
        </is>
      </c>
      <c r="E5" s="9" t="inlineStr">
        <is>
          <t>P-21848</t>
        </is>
      </c>
      <c r="F5" s="9" t="inlineStr">
        <is>
          <t>Facial &amp; clean-up</t>
        </is>
      </c>
      <c r="G5" s="9" t="inlineStr">
        <is>
          <t>14–17</t>
        </is>
      </c>
      <c r="H5" s="9" t="inlineStr">
        <is>
          <t>Completed</t>
        </is>
      </c>
      <c r="I5" s="9" t="inlineStr">
        <is>
          <t>Y</t>
        </is>
      </c>
      <c r="J5" s="9" t="n">
        <v>5</v>
      </c>
      <c r="K5" s="9" t="inlineStr">
        <is>
          <t>N</t>
        </is>
      </c>
      <c r="L5" s="9" t="n"/>
      <c r="M5" s="116">
        <f>--(COUNTIF($A$2:A5,A5)=1)</f>
        <v>1</v>
      </c>
      <c r="N5" s="9" t="inlineStr">
        <is>
          <t>Noida &amp; Ghaziabad</t>
        </is>
      </c>
      <c r="O5" s="113">
        <f>COUNTIFS($C$2:$C$301,N5,$M$2:$M$301,1)</f>
        <v>30</v>
      </c>
      <c r="P5" s="113">
        <f>COUNTIFS($C$2:$C$301,N5,$H$2:$H$301,"Completed",$M$2:$M$301,1)</f>
        <v>27</v>
      </c>
      <c r="Q5" s="80">
        <f>IFERROR(P5/O5,0)</f>
        <v>0.9</v>
      </c>
      <c r="R5" s="117">
        <f>IFERROR(AVERAGEIFS($J$2:$J$301,$C$2:$C$301,N5,$M$2:$M$301,1),0)</f>
        <v>4.78947368421053</v>
      </c>
      <c r="S5" s="113">
        <f>COUNTIFS($C$2:$C$301,N5,$K$2:$K$301,"Y",$M$2:$M$301,1)</f>
        <v>0</v>
      </c>
    </row>
    <row r="6">
      <c r="A6" s="9" t="inlineStr">
        <is>
          <t>YM2610216609</t>
        </is>
      </c>
      <c r="B6" s="114" t="n">
        <v>46311</v>
      </c>
      <c r="C6" s="9" t="inlineStr">
        <is>
          <t>Gurugram</t>
        </is>
      </c>
      <c r="D6" s="9" t="inlineStr">
        <is>
          <t>GGN-2</t>
        </is>
      </c>
      <c r="E6" s="9" t="n"/>
      <c r="F6" s="9" t="inlineStr">
        <is>
          <t>Facial &amp; clean-up</t>
        </is>
      </c>
      <c r="G6" s="9" t="inlineStr">
        <is>
          <t>14–17</t>
        </is>
      </c>
      <c r="H6" s="9" t="inlineStr">
        <is>
          <t>Unassigned</t>
        </is>
      </c>
      <c r="I6" s="9" t="n"/>
      <c r="J6" s="9" t="n"/>
      <c r="K6" s="9" t="n"/>
      <c r="L6" s="9" t="n"/>
      <c r="M6" s="116">
        <f>--(COUNTIF($A$2:A6,A6)=1)</f>
        <v>1</v>
      </c>
      <c r="N6" s="9" t="inlineStr">
        <is>
          <t>Mumbai</t>
        </is>
      </c>
      <c r="O6" s="113">
        <f>COUNTIFS($C$2:$C$301,N6,$M$2:$M$301,1)</f>
        <v>41</v>
      </c>
      <c r="P6" s="113">
        <f>COUNTIFS($C$2:$C$301,N6,$H$2:$H$301,"Completed",$M$2:$M$301,1)</f>
        <v>30</v>
      </c>
      <c r="Q6" s="80">
        <f>IFERROR(P6/O6,0)</f>
        <v>0.731707317073171</v>
      </c>
      <c r="R6" s="117">
        <f>IFERROR(AVERAGEIFS($J$2:$J$301,$C$2:$C$301,N6,$M$2:$M$301,1),0)</f>
        <v>4.8</v>
      </c>
      <c r="S6" s="113">
        <f>COUNTIFS($C$2:$C$301,N6,$K$2:$K$301,"Y",$M$2:$M$301,1)</f>
        <v>1</v>
      </c>
    </row>
    <row r="7">
      <c r="A7" s="9" t="inlineStr">
        <is>
          <t>YM2610126138</t>
        </is>
      </c>
      <c r="B7" s="114" t="n">
        <v>46307</v>
      </c>
      <c r="C7" s="9" t="inlineStr">
        <is>
          <t>Rest of India</t>
        </is>
      </c>
      <c r="D7" s="9" t="inlineStr">
        <is>
          <t>JAI-1</t>
        </is>
      </c>
      <c r="E7" s="9" t="inlineStr">
        <is>
          <t>P-28287</t>
        </is>
      </c>
      <c r="F7" s="9" t="inlineStr">
        <is>
          <t>Hair care</t>
        </is>
      </c>
      <c r="G7" s="9" t="inlineStr">
        <is>
          <t>11–14</t>
        </is>
      </c>
      <c r="H7" s="9" t="inlineStr">
        <is>
          <t>Completed</t>
        </is>
      </c>
      <c r="I7" s="9" t="inlineStr">
        <is>
          <t>Y</t>
        </is>
      </c>
      <c r="J7" s="9" t="n">
        <v>5</v>
      </c>
      <c r="K7" s="9" t="inlineStr">
        <is>
          <t>N</t>
        </is>
      </c>
      <c r="L7" s="9" t="n"/>
      <c r="M7" s="116">
        <f>--(COUNTIF($A$2:A7,A7)=1)</f>
        <v>1</v>
      </c>
      <c r="N7" s="9" t="inlineStr">
        <is>
          <t>Bengaluru</t>
        </is>
      </c>
      <c r="O7" s="113">
        <f>COUNTIFS($C$2:$C$301,N7,$M$2:$M$301,1)</f>
        <v>33</v>
      </c>
      <c r="P7" s="113">
        <f>COUNTIFS($C$2:$C$301,N7,$H$2:$H$301,"Completed",$M$2:$M$301,1)</f>
        <v>24</v>
      </c>
      <c r="Q7" s="80">
        <f>IFERROR(P7/O7,0)</f>
        <v>0.727272727272727</v>
      </c>
      <c r="R7" s="117">
        <f>IFERROR(AVERAGEIFS($J$2:$J$301,$C$2:$C$301,N7,$M$2:$M$301,1),0)</f>
        <v>4.86666666666667</v>
      </c>
      <c r="S7" s="113">
        <f>COUNTIFS($C$2:$C$301,N7,$K$2:$K$301,"Y",$M$2:$M$301,1)</f>
        <v>0</v>
      </c>
    </row>
    <row r="8">
      <c r="A8" s="9" t="inlineStr">
        <is>
          <t>YM2610156381</t>
        </is>
      </c>
      <c r="B8" s="114" t="n">
        <v>46311</v>
      </c>
      <c r="C8" s="9" t="inlineStr">
        <is>
          <t>Hyderabad</t>
        </is>
      </c>
      <c r="D8" s="9" t="inlineStr">
        <is>
          <t>HYD-1</t>
        </is>
      </c>
      <c r="E8" s="9" t="inlineStr">
        <is>
          <t>P-12129</t>
        </is>
      </c>
      <c r="F8" s="9" t="inlineStr">
        <is>
          <t>Waxing</t>
        </is>
      </c>
      <c r="G8" s="9" t="inlineStr">
        <is>
          <t>14–17</t>
        </is>
      </c>
      <c r="H8" s="9" t="inlineStr">
        <is>
          <t>Completed</t>
        </is>
      </c>
      <c r="I8" s="9" t="inlineStr">
        <is>
          <t>Y</t>
        </is>
      </c>
      <c r="J8" s="9" t="n"/>
      <c r="K8" s="9" t="inlineStr">
        <is>
          <t>N</t>
        </is>
      </c>
      <c r="L8" s="9" t="n"/>
      <c r="M8" s="116">
        <f>--(COUNTIF($A$2:A8,A8)=1)</f>
        <v>1</v>
      </c>
      <c r="N8" s="9" t="inlineStr">
        <is>
          <t>Hyderabad</t>
        </is>
      </c>
      <c r="O8" s="113">
        <f>COUNTIFS($C$2:$C$301,N8,$M$2:$M$301,1)</f>
        <v>18</v>
      </c>
      <c r="P8" s="113">
        <f>COUNTIFS($C$2:$C$301,N8,$H$2:$H$301,"Completed",$M$2:$M$301,1)</f>
        <v>18</v>
      </c>
      <c r="Q8" s="80">
        <f>IFERROR(P8/O8,0)</f>
        <v>1</v>
      </c>
      <c r="R8" s="117">
        <f>IFERROR(AVERAGEIFS($J$2:$J$301,$C$2:$C$301,N8,$M$2:$M$301,1),0)</f>
        <v>4.9</v>
      </c>
      <c r="S8" s="113">
        <f>COUNTIFS($C$2:$C$301,N8,$K$2:$K$301,"Y",$M$2:$M$301,1)</f>
        <v>0</v>
      </c>
    </row>
    <row r="9">
      <c r="A9" s="9" t="inlineStr">
        <is>
          <t>YM2610123957</t>
        </is>
      </c>
      <c r="B9" s="114" t="n">
        <v>46313</v>
      </c>
      <c r="C9" s="9" t="inlineStr">
        <is>
          <t>Rest of India</t>
        </is>
      </c>
      <c r="D9" s="9" t="inlineStr">
        <is>
          <t>AHM-2</t>
        </is>
      </c>
      <c r="E9" s="9" t="inlineStr">
        <is>
          <t>P-21647</t>
        </is>
      </c>
      <c r="F9" s="9" t="inlineStr">
        <is>
          <t>Waxing</t>
        </is>
      </c>
      <c r="G9" s="9" t="inlineStr">
        <is>
          <t>11–14</t>
        </is>
      </c>
      <c r="H9" s="9" t="inlineStr">
        <is>
          <t>Completed</t>
        </is>
      </c>
      <c r="I9" s="9" t="inlineStr">
        <is>
          <t>Y</t>
        </is>
      </c>
      <c r="J9" s="9" t="n"/>
      <c r="K9" s="9" t="inlineStr">
        <is>
          <t>N</t>
        </is>
      </c>
      <c r="L9" s="9" t="n"/>
      <c r="M9" s="116">
        <f>--(COUNTIF($A$2:A9,A9)=1)</f>
        <v>1</v>
      </c>
      <c r="N9" s="9" t="inlineStr">
        <is>
          <t>Pune</t>
        </is>
      </c>
      <c r="O9" s="113">
        <f>COUNTIFS($C$2:$C$301,N9,$M$2:$M$301,1)</f>
        <v>15</v>
      </c>
      <c r="P9" s="113">
        <f>COUNTIFS($C$2:$C$301,N9,$H$2:$H$301,"Completed",$M$2:$M$301,1)</f>
        <v>14</v>
      </c>
      <c r="Q9" s="80">
        <f>IFERROR(P9/O9,0)</f>
        <v>0.933333333333333</v>
      </c>
      <c r="R9" s="117">
        <f>IFERROR(AVERAGEIFS($J$2:$J$301,$C$2:$C$301,N9,$M$2:$M$301,1),0)</f>
        <v>5</v>
      </c>
      <c r="S9" s="113">
        <f>COUNTIFS($C$2:$C$301,N9,$K$2:$K$301,"Y",$M$2:$M$301,1)</f>
        <v>0</v>
      </c>
    </row>
    <row r="10">
      <c r="A10" s="9" t="inlineStr">
        <is>
          <t>YM2610131561</t>
        </is>
      </c>
      <c r="B10" s="114" t="n">
        <v>46308</v>
      </c>
      <c r="C10" s="9" t="inlineStr">
        <is>
          <t>Pune</t>
        </is>
      </c>
      <c r="D10" s="9" t="inlineStr">
        <is>
          <t>PUN-1</t>
        </is>
      </c>
      <c r="E10" s="9" t="inlineStr">
        <is>
          <t>P-24718</t>
        </is>
      </c>
      <c r="F10" s="9" t="inlineStr">
        <is>
          <t>Facial &amp; clean-up</t>
        </is>
      </c>
      <c r="G10" s="9" t="inlineStr">
        <is>
          <t>11–14</t>
        </is>
      </c>
      <c r="H10" s="9" t="inlineStr">
        <is>
          <t>Completed</t>
        </is>
      </c>
      <c r="I10" s="9" t="inlineStr">
        <is>
          <t>Y</t>
        </is>
      </c>
      <c r="J10" s="9" t="n"/>
      <c r="K10" s="9" t="inlineStr">
        <is>
          <t>N</t>
        </is>
      </c>
      <c r="L10" s="9" t="n"/>
      <c r="M10" s="116">
        <f>--(COUNTIF($A$2:A10,A10)=1)</f>
        <v>1</v>
      </c>
      <c r="N10" s="9" t="inlineStr">
        <is>
          <t>Rest of India</t>
        </is>
      </c>
      <c r="O10" s="113">
        <f>COUNTIFS($C$2:$C$301,N10,$M$2:$M$301,1)</f>
        <v>68</v>
      </c>
      <c r="P10" s="113">
        <f>COUNTIFS($C$2:$C$301,N10,$H$2:$H$301,"Completed",$M$2:$M$301,1)</f>
        <v>59</v>
      </c>
      <c r="Q10" s="80">
        <f>IFERROR(P10/O10,0)</f>
        <v>0.867647058823529</v>
      </c>
      <c r="R10" s="117">
        <f>IFERROR(AVERAGEIFS($J$2:$J$301,$C$2:$C$301,N10,$M$2:$M$301,1),0)</f>
        <v>4.68421052631579</v>
      </c>
      <c r="S10" s="113">
        <f>COUNTIFS($C$2:$C$301,N10,$K$2:$K$301,"Y",$M$2:$M$301,1)</f>
        <v>0</v>
      </c>
    </row>
    <row r="11">
      <c r="A11" s="9" t="inlineStr">
        <is>
          <t>YM2610210485</t>
        </is>
      </c>
      <c r="B11" s="114" t="n">
        <v>46311</v>
      </c>
      <c r="C11" s="9" t="inlineStr">
        <is>
          <t>Mumbai</t>
        </is>
      </c>
      <c r="D11" s="9" t="inlineStr">
        <is>
          <t>MUM-4</t>
        </is>
      </c>
      <c r="E11" s="9" t="inlineStr">
        <is>
          <t>P-17561</t>
        </is>
      </c>
      <c r="F11" s="9" t="inlineStr">
        <is>
          <t>Waxing</t>
        </is>
      </c>
      <c r="G11" s="9" t="inlineStr">
        <is>
          <t>17–20</t>
        </is>
      </c>
      <c r="H11" s="9" t="inlineStr">
        <is>
          <t>Cancelled – partner</t>
        </is>
      </c>
      <c r="I11" s="9" t="n"/>
      <c r="J11" s="9" t="n"/>
      <c r="K11" s="9" t="n"/>
      <c r="L11" s="9" t="n"/>
      <c r="M11" s="116">
        <f>--(COUNTIF($A$2:A11,A11)=1)</f>
        <v>1</v>
      </c>
      <c r="N11" s="21" t="inlineStr">
        <is>
          <t>Total</t>
        </is>
      </c>
      <c r="O11" s="118">
        <f>SUM(O3:O10)</f>
        <v>297</v>
      </c>
      <c r="P11" s="118">
        <f>SUM(P3:P10)</f>
        <v>257</v>
      </c>
      <c r="Q11" s="85">
        <f>P11/O11</f>
        <v>0.865319865319865</v>
      </c>
      <c r="R11" s="90">
        <f>AVERAGEIFS($J$2:$J$301,$M$2:$M$301,1)</f>
        <v>4.79245283018868</v>
      </c>
      <c r="S11" s="118">
        <f>SUM(S3:S10)</f>
        <v>1</v>
      </c>
    </row>
    <row r="12">
      <c r="A12" s="9" t="inlineStr">
        <is>
          <t>YM2610121536</t>
        </is>
      </c>
      <c r="B12" s="114" t="n">
        <v>46308</v>
      </c>
      <c r="C12" s="9" t="inlineStr">
        <is>
          <t>Gurugram</t>
        </is>
      </c>
      <c r="D12" s="9" t="inlineStr">
        <is>
          <t>GGN-1</t>
        </is>
      </c>
      <c r="E12" s="9" t="inlineStr">
        <is>
          <t>P-23728</t>
        </is>
      </c>
      <c r="F12" s="9" t="inlineStr">
        <is>
          <t>Hair care</t>
        </is>
      </c>
      <c r="G12" s="9" t="inlineStr">
        <is>
          <t>11–14</t>
        </is>
      </c>
      <c r="H12" s="9" t="inlineStr">
        <is>
          <t>Completed</t>
        </is>
      </c>
      <c r="I12" s="9" t="inlineStr">
        <is>
          <t>Y</t>
        </is>
      </c>
      <c r="J12" s="9" t="n">
        <v>5</v>
      </c>
      <c r="K12" s="9" t="inlineStr">
        <is>
          <t>N</t>
        </is>
      </c>
      <c r="L12" s="9" t="n"/>
      <c r="M12" s="116">
        <f>--(COUNTIF($A$2:A12,A12)=1)</f>
        <v>1</v>
      </c>
    </row>
    <row r="13">
      <c r="A13" s="9" t="inlineStr">
        <is>
          <t>YM2610180853</t>
        </is>
      </c>
      <c r="B13" s="114" t="n">
        <v>46313</v>
      </c>
      <c r="C13" s="9" t="inlineStr">
        <is>
          <t>Delhi</t>
        </is>
      </c>
      <c r="D13" s="9" t="inlineStr">
        <is>
          <t>DEL-3</t>
        </is>
      </c>
      <c r="E13" s="9" t="inlineStr">
        <is>
          <t>P-28326</t>
        </is>
      </c>
      <c r="F13" s="9" t="inlineStr">
        <is>
          <t>Facial &amp; clean-up</t>
        </is>
      </c>
      <c r="G13" s="9" t="inlineStr">
        <is>
          <t>20–22</t>
        </is>
      </c>
      <c r="H13" s="9" t="inlineStr">
        <is>
          <t>Completed</t>
        </is>
      </c>
      <c r="I13" s="9" t="inlineStr">
        <is>
          <t>Y</t>
        </is>
      </c>
      <c r="J13" s="9" t="n"/>
      <c r="K13" s="9" t="inlineStr">
        <is>
          <t>N</t>
        </is>
      </c>
      <c r="L13" s="9" t="n"/>
      <c r="M13" s="116">
        <f>--(COUNTIF($A$2:A13,A13)=1)</f>
        <v>1</v>
      </c>
      <c r="N13" s="19" t="inlineStr">
        <is>
          <t>A 300-row extract to practise on: one row per booking. Three rescheduled bookings appear twice with the same ID. The Data Checks tab catches them.</t>
        </is>
      </c>
    </row>
    <row r="14">
      <c r="A14" s="9" t="inlineStr">
        <is>
          <t>YM2610127891</t>
        </is>
      </c>
      <c r="B14" s="114" t="n">
        <v>46307</v>
      </c>
      <c r="C14" s="9" t="inlineStr">
        <is>
          <t>Bengaluru</t>
        </is>
      </c>
      <c r="D14" s="9" t="inlineStr">
        <is>
          <t>BLR-1</t>
        </is>
      </c>
      <c r="E14" s="9" t="inlineStr">
        <is>
          <t>P-10007</t>
        </is>
      </c>
      <c r="F14" s="9" t="inlineStr">
        <is>
          <t>Hair care</t>
        </is>
      </c>
      <c r="G14" s="9" t="inlineStr">
        <is>
          <t>8–11</t>
        </is>
      </c>
      <c r="H14" s="9" t="inlineStr">
        <is>
          <t>Completed</t>
        </is>
      </c>
      <c r="I14" s="9" t="inlineStr">
        <is>
          <t>Y</t>
        </is>
      </c>
      <c r="J14" s="9" t="n">
        <v>5</v>
      </c>
      <c r="K14" s="9" t="inlineStr">
        <is>
          <t>N</t>
        </is>
      </c>
      <c r="L14" s="9" t="inlineStr">
        <is>
          <t>Rescheduled</t>
        </is>
      </c>
      <c r="M14" s="116">
        <f>--(COUNTIF($A$2:A14,A14)=1)</f>
        <v>1</v>
      </c>
    </row>
    <row r="15">
      <c r="A15" s="9" t="inlineStr">
        <is>
          <t>YM2610166533</t>
        </is>
      </c>
      <c r="B15" s="114" t="n">
        <v>46307</v>
      </c>
      <c r="C15" s="9" t="inlineStr">
        <is>
          <t>Bengaluru</t>
        </is>
      </c>
      <c r="D15" s="9" t="inlineStr">
        <is>
          <t>BLR-3</t>
        </is>
      </c>
      <c r="E15" s="9" t="inlineStr">
        <is>
          <t>P-25536</t>
        </is>
      </c>
      <c r="F15" s="9" t="inlineStr">
        <is>
          <t>Waxing</t>
        </is>
      </c>
      <c r="G15" s="9" t="inlineStr">
        <is>
          <t>11–14</t>
        </is>
      </c>
      <c r="H15" s="9" t="inlineStr">
        <is>
          <t>Completed</t>
        </is>
      </c>
      <c r="I15" s="9" t="inlineStr">
        <is>
          <t>Y</t>
        </is>
      </c>
      <c r="J15" s="9" t="n"/>
      <c r="K15" s="9" t="inlineStr">
        <is>
          <t>N</t>
        </is>
      </c>
      <c r="L15" s="9" t="n"/>
      <c r="M15" s="116">
        <f>--(COUNTIF($A$2:A15,A15)=1)</f>
        <v>1</v>
      </c>
    </row>
    <row r="16">
      <c r="A16" s="9" t="inlineStr">
        <is>
          <t>YM2610211709</t>
        </is>
      </c>
      <c r="B16" s="114" t="n">
        <v>46311</v>
      </c>
      <c r="C16" s="9" t="inlineStr">
        <is>
          <t>Mumbai</t>
        </is>
      </c>
      <c r="D16" s="9" t="inlineStr">
        <is>
          <t>MUM-2</t>
        </is>
      </c>
      <c r="E16" s="9" t="inlineStr">
        <is>
          <t>P-26919</t>
        </is>
      </c>
      <c r="F16" s="9" t="inlineStr">
        <is>
          <t>Waxing</t>
        </is>
      </c>
      <c r="G16" s="9" t="inlineStr">
        <is>
          <t>8–11</t>
        </is>
      </c>
      <c r="H16" s="9" t="inlineStr">
        <is>
          <t>Completed</t>
        </is>
      </c>
      <c r="I16" s="9" t="inlineStr">
        <is>
          <t>N</t>
        </is>
      </c>
      <c r="J16" s="9" t="n">
        <v>5</v>
      </c>
      <c r="K16" s="9" t="inlineStr">
        <is>
          <t>N</t>
        </is>
      </c>
      <c r="L16" s="9" t="n"/>
      <c r="M16" s="116">
        <f>--(COUNTIF($A$2:A16,A16)=1)</f>
        <v>1</v>
      </c>
    </row>
    <row r="17">
      <c r="A17" s="9" t="inlineStr">
        <is>
          <t>YM2610132928</t>
        </is>
      </c>
      <c r="B17" s="114" t="n">
        <v>46311</v>
      </c>
      <c r="C17" s="9" t="inlineStr">
        <is>
          <t>Delhi</t>
        </is>
      </c>
      <c r="D17" s="9" t="inlineStr">
        <is>
          <t>DEL-3</t>
        </is>
      </c>
      <c r="E17" s="9" t="inlineStr">
        <is>
          <t>P-18556</t>
        </is>
      </c>
      <c r="F17" s="9" t="inlineStr">
        <is>
          <t>Massage &amp; body</t>
        </is>
      </c>
      <c r="G17" s="9" t="inlineStr">
        <is>
          <t>8–11</t>
        </is>
      </c>
      <c r="H17" s="9" t="inlineStr">
        <is>
          <t>Completed</t>
        </is>
      </c>
      <c r="I17" s="9" t="inlineStr">
        <is>
          <t>N</t>
        </is>
      </c>
      <c r="J17" s="9" t="n"/>
      <c r="K17" s="9" t="inlineStr">
        <is>
          <t>N</t>
        </is>
      </c>
      <c r="L17" s="9" t="n"/>
      <c r="M17" s="116">
        <f>--(COUNTIF($A$2:A17,A17)=1)</f>
        <v>1</v>
      </c>
    </row>
    <row r="18">
      <c r="A18" s="9" t="inlineStr">
        <is>
          <t>YM2610146578</t>
        </is>
      </c>
      <c r="B18" s="114" t="n">
        <v>46311</v>
      </c>
      <c r="C18" s="9" t="inlineStr">
        <is>
          <t>Gurugram</t>
        </is>
      </c>
      <c r="D18" s="9" t="inlineStr">
        <is>
          <t>GGN-1</t>
        </is>
      </c>
      <c r="E18" s="9" t="inlineStr">
        <is>
          <t>P-23129</t>
        </is>
      </c>
      <c r="F18" s="9" t="inlineStr">
        <is>
          <t>Mani-pedi</t>
        </is>
      </c>
      <c r="G18" s="9" t="inlineStr">
        <is>
          <t>14–17</t>
        </is>
      </c>
      <c r="H18" s="9" t="inlineStr">
        <is>
          <t>Completed</t>
        </is>
      </c>
      <c r="I18" s="9" t="inlineStr">
        <is>
          <t>Y</t>
        </is>
      </c>
      <c r="J18" s="9" t="n">
        <v>4</v>
      </c>
      <c r="K18" s="9" t="inlineStr">
        <is>
          <t>N</t>
        </is>
      </c>
      <c r="L18" s="9" t="n"/>
      <c r="M18" s="116">
        <f>--(COUNTIF($A$2:A18,A18)=1)</f>
        <v>1</v>
      </c>
    </row>
    <row r="19">
      <c r="A19" s="9" t="inlineStr">
        <is>
          <t>YM2610166125</t>
        </is>
      </c>
      <c r="B19" s="114" t="n">
        <v>46307</v>
      </c>
      <c r="C19" s="9" t="inlineStr">
        <is>
          <t>Noida &amp; Ghaziabad</t>
        </is>
      </c>
      <c r="D19" s="9" t="inlineStr">
        <is>
          <t>NOI-3</t>
        </is>
      </c>
      <c r="E19" s="9" t="inlineStr">
        <is>
          <t>P-21453</t>
        </is>
      </c>
      <c r="F19" s="9" t="inlineStr">
        <is>
          <t>Makeup</t>
        </is>
      </c>
      <c r="G19" s="9" t="inlineStr">
        <is>
          <t>8–11</t>
        </is>
      </c>
      <c r="H19" s="9" t="inlineStr">
        <is>
          <t>Completed</t>
        </is>
      </c>
      <c r="I19" s="9" t="inlineStr">
        <is>
          <t>Y</t>
        </is>
      </c>
      <c r="J19" s="9" t="n">
        <v>5</v>
      </c>
      <c r="K19" s="9" t="inlineStr">
        <is>
          <t>N</t>
        </is>
      </c>
      <c r="L19" s="9" t="n"/>
      <c r="M19" s="116">
        <f>--(COUNTIF($A$2:A19,A19)=1)</f>
        <v>1</v>
      </c>
    </row>
    <row r="20">
      <c r="A20" s="9" t="inlineStr">
        <is>
          <t>YM2610121250</t>
        </is>
      </c>
      <c r="B20" s="114" t="n">
        <v>46308</v>
      </c>
      <c r="C20" s="9" t="inlineStr">
        <is>
          <t>Gurugram</t>
        </is>
      </c>
      <c r="D20" s="9" t="inlineStr">
        <is>
          <t>GGN-2</t>
        </is>
      </c>
      <c r="E20" s="9" t="inlineStr">
        <is>
          <t>P-21272</t>
        </is>
      </c>
      <c r="F20" s="9" t="inlineStr">
        <is>
          <t>Threading &amp; de-tan</t>
        </is>
      </c>
      <c r="G20" s="9" t="inlineStr">
        <is>
          <t>11–14</t>
        </is>
      </c>
      <c r="H20" s="9" t="inlineStr">
        <is>
          <t>Completed</t>
        </is>
      </c>
      <c r="I20" s="9" t="inlineStr">
        <is>
          <t>Y</t>
        </is>
      </c>
      <c r="J20" s="9" t="n"/>
      <c r="K20" s="9" t="inlineStr">
        <is>
          <t>N</t>
        </is>
      </c>
      <c r="L20" s="9" t="n"/>
      <c r="M20" s="116">
        <f>--(COUNTIF($A$2:A20,A20)=1)</f>
        <v>1</v>
      </c>
    </row>
    <row r="21">
      <c r="A21" s="9" t="inlineStr">
        <is>
          <t>YM2610164583</t>
        </is>
      </c>
      <c r="B21" s="114" t="n">
        <v>46312</v>
      </c>
      <c r="C21" s="9" t="inlineStr">
        <is>
          <t>Rest of India</t>
        </is>
      </c>
      <c r="D21" s="9" t="inlineStr">
        <is>
          <t>JAI-1</t>
        </is>
      </c>
      <c r="E21" s="9" t="inlineStr">
        <is>
          <t>P-22970</t>
        </is>
      </c>
      <c r="F21" s="9" t="inlineStr">
        <is>
          <t>Massage &amp; body</t>
        </is>
      </c>
      <c r="G21" s="9" t="inlineStr">
        <is>
          <t>17–20</t>
        </is>
      </c>
      <c r="H21" s="9" t="inlineStr">
        <is>
          <t>Completed</t>
        </is>
      </c>
      <c r="I21" s="9" t="inlineStr">
        <is>
          <t>Y</t>
        </is>
      </c>
      <c r="J21" s="9" t="n">
        <v>4</v>
      </c>
      <c r="K21" s="9" t="inlineStr">
        <is>
          <t>N</t>
        </is>
      </c>
      <c r="L21" s="9" t="n"/>
      <c r="M21" s="116">
        <f>--(COUNTIF($A$2:A21,A21)=1)</f>
        <v>1</v>
      </c>
    </row>
    <row r="22">
      <c r="A22" s="9" t="inlineStr">
        <is>
          <t>YM2610201160</t>
        </is>
      </c>
      <c r="B22" s="114" t="n">
        <v>46313</v>
      </c>
      <c r="C22" s="9" t="inlineStr">
        <is>
          <t>Delhi</t>
        </is>
      </c>
      <c r="D22" s="9" t="inlineStr">
        <is>
          <t>DEL-3</t>
        </is>
      </c>
      <c r="E22" s="9" t="inlineStr">
        <is>
          <t>P-25543</t>
        </is>
      </c>
      <c r="F22" s="9" t="inlineStr">
        <is>
          <t>Hair care</t>
        </is>
      </c>
      <c r="G22" s="9" t="inlineStr">
        <is>
          <t>8–11</t>
        </is>
      </c>
      <c r="H22" s="9" t="inlineStr">
        <is>
          <t>Completed</t>
        </is>
      </c>
      <c r="I22" s="9" t="inlineStr">
        <is>
          <t>Y</t>
        </is>
      </c>
      <c r="J22" s="9" t="n">
        <v>5</v>
      </c>
      <c r="K22" s="9" t="inlineStr">
        <is>
          <t>N</t>
        </is>
      </c>
      <c r="L22" s="9" t="n"/>
      <c r="M22" s="116">
        <f>--(COUNTIF($A$2:A22,A22)=1)</f>
        <v>1</v>
      </c>
    </row>
    <row r="23">
      <c r="A23" s="9" t="inlineStr">
        <is>
          <t>YM2610177860</t>
        </is>
      </c>
      <c r="B23" s="114" t="n">
        <v>46307</v>
      </c>
      <c r="C23" s="9" t="inlineStr">
        <is>
          <t>Delhi</t>
        </is>
      </c>
      <c r="D23" s="9" t="inlineStr">
        <is>
          <t>DEL-1</t>
        </is>
      </c>
      <c r="E23" s="9" t="inlineStr">
        <is>
          <t>P-16915</t>
        </is>
      </c>
      <c r="F23" s="9" t="inlineStr">
        <is>
          <t>Waxing</t>
        </is>
      </c>
      <c r="G23" s="9" t="inlineStr">
        <is>
          <t>20–22</t>
        </is>
      </c>
      <c r="H23" s="9" t="inlineStr">
        <is>
          <t>Completed</t>
        </is>
      </c>
      <c r="I23" s="9" t="inlineStr">
        <is>
          <t>Y</t>
        </is>
      </c>
      <c r="J23" s="9" t="n">
        <v>4</v>
      </c>
      <c r="K23" s="9" t="inlineStr">
        <is>
          <t>N</t>
        </is>
      </c>
      <c r="L23" s="9" t="n"/>
      <c r="M23" s="116">
        <f>--(COUNTIF($A$2:A23,A23)=1)</f>
        <v>1</v>
      </c>
    </row>
    <row r="24">
      <c r="A24" s="9" t="inlineStr">
        <is>
          <t>YM2610181052</t>
        </is>
      </c>
      <c r="B24" s="114" t="n">
        <v>46309</v>
      </c>
      <c r="C24" s="9" t="inlineStr">
        <is>
          <t>Pune</t>
        </is>
      </c>
      <c r="D24" s="9" t="inlineStr">
        <is>
          <t>PUN-1</t>
        </is>
      </c>
      <c r="E24" s="9" t="inlineStr">
        <is>
          <t>P-26438</t>
        </is>
      </c>
      <c r="F24" s="9" t="inlineStr">
        <is>
          <t>Waxing</t>
        </is>
      </c>
      <c r="G24" s="9" t="inlineStr">
        <is>
          <t>14–17</t>
        </is>
      </c>
      <c r="H24" s="9" t="inlineStr">
        <is>
          <t>Completed</t>
        </is>
      </c>
      <c r="I24" s="9" t="inlineStr">
        <is>
          <t>Y</t>
        </is>
      </c>
      <c r="J24" s="9" t="n">
        <v>5</v>
      </c>
      <c r="K24" s="9" t="inlineStr">
        <is>
          <t>N</t>
        </is>
      </c>
      <c r="L24" s="9" t="n"/>
      <c r="M24" s="116">
        <f>--(COUNTIF($A$2:A24,A24)=1)</f>
        <v>1</v>
      </c>
    </row>
    <row r="25">
      <c r="A25" s="9" t="inlineStr">
        <is>
          <t>YM2610202146</t>
        </is>
      </c>
      <c r="B25" s="114" t="n">
        <v>46312</v>
      </c>
      <c r="C25" s="9" t="inlineStr">
        <is>
          <t>Rest of India</t>
        </is>
      </c>
      <c r="D25" s="9" t="inlineStr">
        <is>
          <t>JAI-1</t>
        </is>
      </c>
      <c r="E25" s="9" t="inlineStr">
        <is>
          <t>P-28234</t>
        </is>
      </c>
      <c r="F25" s="9" t="inlineStr">
        <is>
          <t>Waxing</t>
        </is>
      </c>
      <c r="G25" s="9" t="inlineStr">
        <is>
          <t>14–17</t>
        </is>
      </c>
      <c r="H25" s="9" t="inlineStr">
        <is>
          <t>Completed</t>
        </is>
      </c>
      <c r="I25" s="9" t="inlineStr">
        <is>
          <t>Y</t>
        </is>
      </c>
      <c r="J25" s="9" t="n">
        <v>5</v>
      </c>
      <c r="K25" s="9" t="inlineStr">
        <is>
          <t>N</t>
        </is>
      </c>
      <c r="L25" s="9" t="n"/>
      <c r="M25" s="116">
        <f>--(COUNTIF($A$2:A25,A25)=1)</f>
        <v>1</v>
      </c>
    </row>
    <row r="26">
      <c r="A26" s="9" t="inlineStr">
        <is>
          <t>YM2610133811</t>
        </is>
      </c>
      <c r="B26" s="114" t="n">
        <v>46312</v>
      </c>
      <c r="C26" s="9" t="inlineStr">
        <is>
          <t>Mumbai</t>
        </is>
      </c>
      <c r="D26" s="9" t="inlineStr">
        <is>
          <t>MUM-5</t>
        </is>
      </c>
      <c r="E26" s="9" t="inlineStr">
        <is>
          <t>P-24816</t>
        </is>
      </c>
      <c r="F26" s="9" t="inlineStr">
        <is>
          <t>Hair care</t>
        </is>
      </c>
      <c r="G26" s="9" t="inlineStr">
        <is>
          <t>20–22</t>
        </is>
      </c>
      <c r="H26" s="9" t="inlineStr">
        <is>
          <t>Completed</t>
        </is>
      </c>
      <c r="I26" s="9" t="inlineStr">
        <is>
          <t>Y</t>
        </is>
      </c>
      <c r="J26" s="9" t="n">
        <v>5</v>
      </c>
      <c r="K26" s="9" t="inlineStr">
        <is>
          <t>N</t>
        </is>
      </c>
      <c r="L26" s="9" t="n"/>
      <c r="M26" s="116">
        <f>--(COUNTIF($A$2:A26,A26)=1)</f>
        <v>1</v>
      </c>
    </row>
    <row r="27">
      <c r="A27" s="9" t="inlineStr">
        <is>
          <t>YM2610180289</t>
        </is>
      </c>
      <c r="B27" s="114" t="n">
        <v>46312</v>
      </c>
      <c r="C27" s="9" t="inlineStr">
        <is>
          <t>Mumbai</t>
        </is>
      </c>
      <c r="D27" s="9" t="inlineStr">
        <is>
          <t>MUM-5</t>
        </is>
      </c>
      <c r="E27" s="9" t="inlineStr">
        <is>
          <t>P-27474</t>
        </is>
      </c>
      <c r="F27" s="9" t="inlineStr">
        <is>
          <t>Threading &amp; de-tan</t>
        </is>
      </c>
      <c r="G27" s="9" t="inlineStr">
        <is>
          <t>14–17</t>
        </is>
      </c>
      <c r="H27" s="9" t="inlineStr">
        <is>
          <t>Completed</t>
        </is>
      </c>
      <c r="I27" s="9" t="inlineStr">
        <is>
          <t>Y</t>
        </is>
      </c>
      <c r="J27" s="9" t="n"/>
      <c r="K27" s="9" t="inlineStr">
        <is>
          <t>N</t>
        </is>
      </c>
      <c r="L27" s="9" t="n"/>
      <c r="M27" s="116">
        <f>--(COUNTIF($A$2:A27,A27)=1)</f>
        <v>1</v>
      </c>
    </row>
    <row r="28">
      <c r="A28" s="9" t="inlineStr">
        <is>
          <t>YM2610147553</t>
        </is>
      </c>
      <c r="B28" s="114" t="n">
        <v>46313</v>
      </c>
      <c r="C28" s="9" t="inlineStr">
        <is>
          <t>Mumbai</t>
        </is>
      </c>
      <c r="D28" s="9" t="inlineStr">
        <is>
          <t>MUM-4</t>
        </is>
      </c>
      <c r="E28" s="9" t="n"/>
      <c r="F28" s="9" t="inlineStr">
        <is>
          <t>Waxing</t>
        </is>
      </c>
      <c r="G28" s="9" t="inlineStr">
        <is>
          <t>20–22</t>
        </is>
      </c>
      <c r="H28" s="9" t="inlineStr">
        <is>
          <t>Unassigned</t>
        </is>
      </c>
      <c r="I28" s="9" t="n"/>
      <c r="J28" s="9" t="n"/>
      <c r="K28" s="9" t="n"/>
      <c r="L28" s="9" t="n"/>
      <c r="M28" s="116">
        <f>--(COUNTIF($A$2:A28,A28)=1)</f>
        <v>1</v>
      </c>
    </row>
    <row r="29">
      <c r="A29" s="9" t="inlineStr">
        <is>
          <t>YM2610137036</t>
        </is>
      </c>
      <c r="B29" s="114" t="n">
        <v>46310</v>
      </c>
      <c r="C29" s="9" t="inlineStr">
        <is>
          <t>Delhi</t>
        </is>
      </c>
      <c r="D29" s="9" t="inlineStr">
        <is>
          <t>DEL-1</t>
        </is>
      </c>
      <c r="E29" s="9" t="inlineStr">
        <is>
          <t>P-21999</t>
        </is>
      </c>
      <c r="F29" s="9" t="inlineStr">
        <is>
          <t>Waxing</t>
        </is>
      </c>
      <c r="G29" s="9" t="inlineStr">
        <is>
          <t>8–11</t>
        </is>
      </c>
      <c r="H29" s="9" t="inlineStr">
        <is>
          <t>Completed</t>
        </is>
      </c>
      <c r="I29" s="9" t="inlineStr">
        <is>
          <t>Y</t>
        </is>
      </c>
      <c r="J29" s="9" t="n">
        <v>5</v>
      </c>
      <c r="K29" s="9" t="inlineStr">
        <is>
          <t>N</t>
        </is>
      </c>
      <c r="L29" s="9" t="n"/>
      <c r="M29" s="116">
        <f>--(COUNTIF($A$2:A29,A29)=1)</f>
        <v>1</v>
      </c>
    </row>
    <row r="30">
      <c r="A30" s="9" t="inlineStr">
        <is>
          <t>YM2610150322</t>
        </is>
      </c>
      <c r="B30" s="114" t="n">
        <v>46313</v>
      </c>
      <c r="C30" s="9" t="inlineStr">
        <is>
          <t>Gurugram</t>
        </is>
      </c>
      <c r="D30" s="9" t="inlineStr">
        <is>
          <t>GGN-1</t>
        </is>
      </c>
      <c r="E30" s="9" t="inlineStr">
        <is>
          <t>P-24140</t>
        </is>
      </c>
      <c r="F30" s="9" t="inlineStr">
        <is>
          <t>Makeup</t>
        </is>
      </c>
      <c r="G30" s="9" t="inlineStr">
        <is>
          <t>11–14</t>
        </is>
      </c>
      <c r="H30" s="9" t="inlineStr">
        <is>
          <t>Completed</t>
        </is>
      </c>
      <c r="I30" s="9" t="inlineStr">
        <is>
          <t>Y</t>
        </is>
      </c>
      <c r="J30" s="9" t="n"/>
      <c r="K30" s="9" t="inlineStr">
        <is>
          <t>N</t>
        </is>
      </c>
      <c r="L30" s="9" t="n"/>
      <c r="M30" s="116">
        <f>--(COUNTIF($A$2:A30,A30)=1)</f>
        <v>1</v>
      </c>
    </row>
    <row r="31">
      <c r="A31" s="9" t="inlineStr">
        <is>
          <t>YM2610171376</t>
        </is>
      </c>
      <c r="B31" s="114" t="n">
        <v>46307</v>
      </c>
      <c r="C31" s="9" t="inlineStr">
        <is>
          <t>Noida &amp; Ghaziabad</t>
        </is>
      </c>
      <c r="D31" s="9" t="inlineStr">
        <is>
          <t>NOI-3</t>
        </is>
      </c>
      <c r="E31" s="9" t="inlineStr">
        <is>
          <t>P-26955</t>
        </is>
      </c>
      <c r="F31" s="9" t="inlineStr">
        <is>
          <t>Hair care</t>
        </is>
      </c>
      <c r="G31" s="9" t="inlineStr">
        <is>
          <t>11–14</t>
        </is>
      </c>
      <c r="H31" s="9" t="inlineStr">
        <is>
          <t>Completed</t>
        </is>
      </c>
      <c r="I31" s="9" t="inlineStr">
        <is>
          <t>Y</t>
        </is>
      </c>
      <c r="J31" s="9" t="n">
        <v>5</v>
      </c>
      <c r="K31" s="9" t="inlineStr">
        <is>
          <t>N</t>
        </is>
      </c>
      <c r="L31" s="9" t="n"/>
      <c r="M31" s="116">
        <f>--(COUNTIF($A$2:A31,A31)=1)</f>
        <v>1</v>
      </c>
    </row>
    <row r="32">
      <c r="A32" s="9" t="inlineStr">
        <is>
          <t>YM2610144796</t>
        </is>
      </c>
      <c r="B32" s="114" t="n">
        <v>46312</v>
      </c>
      <c r="C32" s="9" t="inlineStr">
        <is>
          <t>Rest of India</t>
        </is>
      </c>
      <c r="D32" s="9" t="inlineStr">
        <is>
          <t>CHD-1</t>
        </is>
      </c>
      <c r="E32" s="9" t="inlineStr">
        <is>
          <t>P-14245</t>
        </is>
      </c>
      <c r="F32" s="9" t="inlineStr">
        <is>
          <t>Threading &amp; de-tan</t>
        </is>
      </c>
      <c r="G32" s="9" t="inlineStr">
        <is>
          <t>20–22</t>
        </is>
      </c>
      <c r="H32" s="9" t="inlineStr">
        <is>
          <t>Completed</t>
        </is>
      </c>
      <c r="I32" s="9" t="inlineStr">
        <is>
          <t>Y</t>
        </is>
      </c>
      <c r="J32" s="9" t="n">
        <v>5</v>
      </c>
      <c r="K32" s="9" t="inlineStr">
        <is>
          <t>N</t>
        </is>
      </c>
      <c r="L32" s="9" t="n"/>
      <c r="M32" s="116">
        <f>--(COUNTIF($A$2:A32,A32)=1)</f>
        <v>1</v>
      </c>
    </row>
    <row r="33">
      <c r="A33" s="9" t="inlineStr">
        <is>
          <t>YM2610157577</t>
        </is>
      </c>
      <c r="B33" s="114" t="n">
        <v>46310</v>
      </c>
      <c r="C33" s="9" t="inlineStr">
        <is>
          <t>Rest of India</t>
        </is>
      </c>
      <c r="D33" s="9" t="inlineStr">
        <is>
          <t>JAI-1</t>
        </is>
      </c>
      <c r="E33" s="9" t="inlineStr">
        <is>
          <t>P-16007</t>
        </is>
      </c>
      <c r="F33" s="9" t="inlineStr">
        <is>
          <t>Facial &amp; clean-up</t>
        </is>
      </c>
      <c r="G33" s="9" t="inlineStr">
        <is>
          <t>14–17</t>
        </is>
      </c>
      <c r="H33" s="9" t="inlineStr">
        <is>
          <t>Completed</t>
        </is>
      </c>
      <c r="I33" s="9" t="inlineStr">
        <is>
          <t>Y</t>
        </is>
      </c>
      <c r="J33" s="9" t="n">
        <v>5</v>
      </c>
      <c r="K33" s="9" t="inlineStr">
        <is>
          <t>N</t>
        </is>
      </c>
      <c r="L33" s="9" t="n"/>
      <c r="M33" s="116">
        <f>--(COUNTIF($A$2:A33,A33)=1)</f>
        <v>1</v>
      </c>
    </row>
    <row r="34">
      <c r="A34" s="9" t="inlineStr">
        <is>
          <t>YM2610180477</t>
        </is>
      </c>
      <c r="B34" s="114" t="n">
        <v>46312</v>
      </c>
      <c r="C34" s="9" t="inlineStr">
        <is>
          <t>Bengaluru</t>
        </is>
      </c>
      <c r="D34" s="9" t="inlineStr">
        <is>
          <t>BLR-1</t>
        </is>
      </c>
      <c r="E34" s="9" t="inlineStr">
        <is>
          <t>P-21113</t>
        </is>
      </c>
      <c r="F34" s="9" t="inlineStr">
        <is>
          <t>Makeup</t>
        </is>
      </c>
      <c r="G34" s="9" t="inlineStr">
        <is>
          <t>8–11</t>
        </is>
      </c>
      <c r="H34" s="9" t="inlineStr">
        <is>
          <t>Completed</t>
        </is>
      </c>
      <c r="I34" s="9" t="inlineStr">
        <is>
          <t>Y</t>
        </is>
      </c>
      <c r="J34" s="9" t="n">
        <v>4</v>
      </c>
      <c r="K34" s="9" t="inlineStr">
        <is>
          <t>N</t>
        </is>
      </c>
      <c r="L34" s="9" t="n"/>
      <c r="M34" s="116">
        <f>--(COUNTIF($A$2:A34,A34)=1)</f>
        <v>1</v>
      </c>
    </row>
    <row r="35">
      <c r="A35" s="9" t="inlineStr">
        <is>
          <t>YM2610142161</t>
        </is>
      </c>
      <c r="B35" s="114" t="n">
        <v>46307</v>
      </c>
      <c r="C35" s="9" t="inlineStr">
        <is>
          <t>Bengaluru</t>
        </is>
      </c>
      <c r="D35" s="9" t="inlineStr">
        <is>
          <t>BLR-3</t>
        </is>
      </c>
      <c r="E35" s="9" t="n"/>
      <c r="F35" s="9" t="inlineStr">
        <is>
          <t>Waxing</t>
        </is>
      </c>
      <c r="G35" s="9" t="inlineStr">
        <is>
          <t>17–20</t>
        </is>
      </c>
      <c r="H35" s="9" t="inlineStr">
        <is>
          <t>Unassigned</t>
        </is>
      </c>
      <c r="I35" s="9" t="n"/>
      <c r="J35" s="9" t="n"/>
      <c r="K35" s="9" t="n"/>
      <c r="L35" s="9" t="n"/>
      <c r="M35" s="116">
        <f>--(COUNTIF($A$2:A35,A35)=1)</f>
        <v>1</v>
      </c>
    </row>
    <row r="36">
      <c r="A36" s="9" t="inlineStr">
        <is>
          <t>YM2610144317</t>
        </is>
      </c>
      <c r="B36" s="114" t="n">
        <v>46309</v>
      </c>
      <c r="C36" s="9" t="inlineStr">
        <is>
          <t>Gurugram</t>
        </is>
      </c>
      <c r="D36" s="9" t="inlineStr">
        <is>
          <t>GGN-2</t>
        </is>
      </c>
      <c r="E36" s="9" t="inlineStr">
        <is>
          <t>P-21370</t>
        </is>
      </c>
      <c r="F36" s="9" t="inlineStr">
        <is>
          <t>Threading &amp; de-tan</t>
        </is>
      </c>
      <c r="G36" s="9" t="inlineStr">
        <is>
          <t>11–14</t>
        </is>
      </c>
      <c r="H36" s="9" t="inlineStr">
        <is>
          <t>Completed</t>
        </is>
      </c>
      <c r="I36" s="9" t="inlineStr">
        <is>
          <t>N</t>
        </is>
      </c>
      <c r="J36" s="9" t="n">
        <v>5</v>
      </c>
      <c r="K36" s="9" t="inlineStr">
        <is>
          <t>N</t>
        </is>
      </c>
      <c r="L36" s="9" t="n"/>
      <c r="M36" s="116">
        <f>--(COUNTIF($A$2:A36,A36)=1)</f>
        <v>1</v>
      </c>
    </row>
    <row r="37">
      <c r="A37" s="9" t="inlineStr">
        <is>
          <t>YM2610207287</t>
        </is>
      </c>
      <c r="B37" s="114" t="n">
        <v>46311</v>
      </c>
      <c r="C37" s="9" t="inlineStr">
        <is>
          <t>Delhi</t>
        </is>
      </c>
      <c r="D37" s="9" t="inlineStr">
        <is>
          <t>DEL-3</t>
        </is>
      </c>
      <c r="E37" s="9" t="inlineStr">
        <is>
          <t>P-24161</t>
        </is>
      </c>
      <c r="F37" s="9" t="inlineStr">
        <is>
          <t>Hair care</t>
        </is>
      </c>
      <c r="G37" s="9" t="inlineStr">
        <is>
          <t>20–22</t>
        </is>
      </c>
      <c r="H37" s="9" t="inlineStr">
        <is>
          <t>Completed</t>
        </is>
      </c>
      <c r="I37" s="9" t="inlineStr">
        <is>
          <t>Y</t>
        </is>
      </c>
      <c r="J37" s="9" t="n">
        <v>5</v>
      </c>
      <c r="K37" s="9" t="inlineStr">
        <is>
          <t>N</t>
        </is>
      </c>
      <c r="L37" s="9" t="n"/>
      <c r="M37" s="116">
        <f>--(COUNTIF($A$2:A37,A37)=1)</f>
        <v>1</v>
      </c>
    </row>
    <row r="38">
      <c r="A38" s="9" t="inlineStr">
        <is>
          <t>YM2610216531</t>
        </is>
      </c>
      <c r="B38" s="114" t="n">
        <v>46309</v>
      </c>
      <c r="C38" s="9" t="inlineStr">
        <is>
          <t>Rest of India</t>
        </is>
      </c>
      <c r="D38" s="9" t="inlineStr">
        <is>
          <t>LKO-1</t>
        </is>
      </c>
      <c r="E38" s="9" t="inlineStr">
        <is>
          <t>P-23261</t>
        </is>
      </c>
      <c r="F38" s="9" t="inlineStr">
        <is>
          <t>Makeup</t>
        </is>
      </c>
      <c r="G38" s="9" t="inlineStr">
        <is>
          <t>11–14</t>
        </is>
      </c>
      <c r="H38" s="9" t="inlineStr">
        <is>
          <t>Completed</t>
        </is>
      </c>
      <c r="I38" s="9" t="inlineStr">
        <is>
          <t>N</t>
        </is>
      </c>
      <c r="J38" s="9" t="n">
        <v>4</v>
      </c>
      <c r="K38" s="9" t="inlineStr">
        <is>
          <t>N</t>
        </is>
      </c>
      <c r="L38" s="9" t="n"/>
      <c r="M38" s="116">
        <f>--(COUNTIF($A$2:A38,A38)=1)</f>
        <v>1</v>
      </c>
    </row>
    <row r="39">
      <c r="A39" s="9" t="inlineStr">
        <is>
          <t>YM2610170922</t>
        </is>
      </c>
      <c r="B39" s="114" t="n">
        <v>46312</v>
      </c>
      <c r="C39" s="9" t="inlineStr">
        <is>
          <t>Delhi</t>
        </is>
      </c>
      <c r="D39" s="9" t="inlineStr">
        <is>
          <t>DEL-3</t>
        </is>
      </c>
      <c r="E39" s="9" t="inlineStr">
        <is>
          <t>P-19238</t>
        </is>
      </c>
      <c r="F39" s="9" t="inlineStr">
        <is>
          <t>Hair care</t>
        </is>
      </c>
      <c r="G39" s="9" t="inlineStr">
        <is>
          <t>17–20</t>
        </is>
      </c>
      <c r="H39" s="9" t="inlineStr">
        <is>
          <t>Completed</t>
        </is>
      </c>
      <c r="I39" s="9" t="inlineStr">
        <is>
          <t>Y</t>
        </is>
      </c>
      <c r="J39" s="9" t="n">
        <v>5</v>
      </c>
      <c r="K39" s="9" t="inlineStr">
        <is>
          <t>N</t>
        </is>
      </c>
      <c r="L39" s="9" t="n"/>
      <c r="M39" s="116">
        <f>--(COUNTIF($A$2:A39,A39)=1)</f>
        <v>1</v>
      </c>
    </row>
    <row r="40">
      <c r="A40" s="9" t="inlineStr">
        <is>
          <t>YM2610163406</t>
        </is>
      </c>
      <c r="B40" s="114" t="n">
        <v>46309</v>
      </c>
      <c r="C40" s="9" t="inlineStr">
        <is>
          <t>Gurugram</t>
        </is>
      </c>
      <c r="D40" s="9" t="inlineStr">
        <is>
          <t>GGN-1</t>
        </is>
      </c>
      <c r="E40" s="9" t="inlineStr">
        <is>
          <t>P-11128</t>
        </is>
      </c>
      <c r="F40" s="9" t="inlineStr">
        <is>
          <t>Makeup</t>
        </is>
      </c>
      <c r="G40" s="9" t="inlineStr">
        <is>
          <t>8–11</t>
        </is>
      </c>
      <c r="H40" s="9" t="inlineStr">
        <is>
          <t>Completed</t>
        </is>
      </c>
      <c r="I40" s="9" t="inlineStr">
        <is>
          <t>Y</t>
        </is>
      </c>
      <c r="J40" s="9" t="n">
        <v>2</v>
      </c>
      <c r="K40" s="9" t="inlineStr">
        <is>
          <t>N</t>
        </is>
      </c>
      <c r="L40" s="9" t="n"/>
      <c r="M40" s="116">
        <f>--(COUNTIF($A$2:A40,A40)=1)</f>
        <v>1</v>
      </c>
    </row>
    <row r="41">
      <c r="A41" s="9" t="inlineStr">
        <is>
          <t>YM2610121648</t>
        </is>
      </c>
      <c r="B41" s="114" t="n">
        <v>46310</v>
      </c>
      <c r="C41" s="9" t="inlineStr">
        <is>
          <t>Delhi</t>
        </is>
      </c>
      <c r="D41" s="9" t="inlineStr">
        <is>
          <t>DEL-1</t>
        </is>
      </c>
      <c r="E41" s="9" t="inlineStr">
        <is>
          <t>P-18656</t>
        </is>
      </c>
      <c r="F41" s="9" t="inlineStr">
        <is>
          <t>Threading &amp; de-tan</t>
        </is>
      </c>
      <c r="G41" s="9" t="inlineStr">
        <is>
          <t>14–17</t>
        </is>
      </c>
      <c r="H41" s="9" t="inlineStr">
        <is>
          <t>Completed</t>
        </is>
      </c>
      <c r="I41" s="9" t="inlineStr">
        <is>
          <t>Y</t>
        </is>
      </c>
      <c r="J41" s="9" t="n">
        <v>5</v>
      </c>
      <c r="K41" s="9" t="inlineStr">
        <is>
          <t>N</t>
        </is>
      </c>
      <c r="L41" s="9" t="n"/>
      <c r="M41" s="116">
        <f>--(COUNTIF($A$2:A41,A41)=1)</f>
        <v>1</v>
      </c>
    </row>
    <row r="42">
      <c r="A42" s="9" t="inlineStr">
        <is>
          <t>YM2610127891</t>
        </is>
      </c>
      <c r="B42" s="114" t="n">
        <v>46308</v>
      </c>
      <c r="C42" s="9" t="inlineStr">
        <is>
          <t>Bengaluru</t>
        </is>
      </c>
      <c r="D42" s="9" t="inlineStr">
        <is>
          <t>BLR-1</t>
        </is>
      </c>
      <c r="E42" s="9" t="inlineStr">
        <is>
          <t>P-10007</t>
        </is>
      </c>
      <c r="F42" s="9" t="inlineStr">
        <is>
          <t>Hair care</t>
        </is>
      </c>
      <c r="G42" s="9" t="inlineStr">
        <is>
          <t>8–11</t>
        </is>
      </c>
      <c r="H42" s="9" t="inlineStr">
        <is>
          <t>Completed</t>
        </is>
      </c>
      <c r="I42" s="9" t="inlineStr">
        <is>
          <t>Y</t>
        </is>
      </c>
      <c r="J42" s="9" t="n">
        <v>5</v>
      </c>
      <c r="K42" s="9" t="inlineStr">
        <is>
          <t>N</t>
        </is>
      </c>
      <c r="L42" s="9" t="inlineStr">
        <is>
          <t>Rescheduled</t>
        </is>
      </c>
      <c r="M42" s="116">
        <f>--(COUNTIF($A$2:A42,A42)=1)</f>
        <v>0</v>
      </c>
    </row>
    <row r="43">
      <c r="A43" s="9" t="inlineStr">
        <is>
          <t>YM2610188237</t>
        </is>
      </c>
      <c r="B43" s="114" t="n">
        <v>46312</v>
      </c>
      <c r="C43" s="9" t="inlineStr">
        <is>
          <t>Delhi</t>
        </is>
      </c>
      <c r="D43" s="9" t="inlineStr">
        <is>
          <t>DEL-3</t>
        </is>
      </c>
      <c r="E43" s="9" t="inlineStr">
        <is>
          <t>P-24065</t>
        </is>
      </c>
      <c r="F43" s="9" t="inlineStr">
        <is>
          <t>Mani-pedi</t>
        </is>
      </c>
      <c r="G43" s="9" t="inlineStr">
        <is>
          <t>14–17</t>
        </is>
      </c>
      <c r="H43" s="9" t="inlineStr">
        <is>
          <t>Completed</t>
        </is>
      </c>
      <c r="I43" s="9" t="inlineStr">
        <is>
          <t>Y</t>
        </is>
      </c>
      <c r="J43" s="9" t="n"/>
      <c r="K43" s="9" t="inlineStr">
        <is>
          <t>N</t>
        </is>
      </c>
      <c r="L43" s="9" t="n"/>
      <c r="M43" s="116">
        <f>--(COUNTIF($A$2:A43,A43)=1)</f>
        <v>1</v>
      </c>
    </row>
    <row r="44">
      <c r="A44" s="9" t="inlineStr">
        <is>
          <t>YM2610197554</t>
        </is>
      </c>
      <c r="B44" s="114" t="n">
        <v>46311</v>
      </c>
      <c r="C44" s="9" t="inlineStr">
        <is>
          <t>Mumbai</t>
        </is>
      </c>
      <c r="D44" s="9" t="inlineStr">
        <is>
          <t>MUM-5</t>
        </is>
      </c>
      <c r="E44" s="9" t="inlineStr">
        <is>
          <t>P-17534</t>
        </is>
      </c>
      <c r="F44" s="9" t="inlineStr">
        <is>
          <t>Waxing</t>
        </is>
      </c>
      <c r="G44" s="9" t="inlineStr">
        <is>
          <t>17–20</t>
        </is>
      </c>
      <c r="H44" s="9" t="inlineStr">
        <is>
          <t>Completed</t>
        </is>
      </c>
      <c r="I44" s="9" t="inlineStr">
        <is>
          <t>Y</t>
        </is>
      </c>
      <c r="J44" s="9" t="n"/>
      <c r="K44" s="9" t="inlineStr">
        <is>
          <t>N</t>
        </is>
      </c>
      <c r="L44" s="9" t="n"/>
      <c r="M44" s="116">
        <f>--(COUNTIF($A$2:A44,A44)=1)</f>
        <v>1</v>
      </c>
    </row>
    <row r="45">
      <c r="A45" s="9" t="inlineStr">
        <is>
          <t>YM2610153054</t>
        </is>
      </c>
      <c r="B45" s="114" t="n">
        <v>46310</v>
      </c>
      <c r="C45" s="9" t="inlineStr">
        <is>
          <t>Rest of India</t>
        </is>
      </c>
      <c r="D45" s="9" t="inlineStr">
        <is>
          <t>AHM-2</t>
        </is>
      </c>
      <c r="E45" s="9" t="inlineStr">
        <is>
          <t>P-18643</t>
        </is>
      </c>
      <c r="F45" s="9" t="inlineStr">
        <is>
          <t>Waxing</t>
        </is>
      </c>
      <c r="G45" s="9" t="inlineStr">
        <is>
          <t>14–17</t>
        </is>
      </c>
      <c r="H45" s="9" t="inlineStr">
        <is>
          <t>Completed</t>
        </is>
      </c>
      <c r="I45" s="9" t="inlineStr">
        <is>
          <t>Y</t>
        </is>
      </c>
      <c r="J45" s="9" t="n">
        <v>5</v>
      </c>
      <c r="K45" s="9" t="inlineStr">
        <is>
          <t>N</t>
        </is>
      </c>
      <c r="L45" s="9" t="n"/>
      <c r="M45" s="116">
        <f>--(COUNTIF($A$2:A45,A45)=1)</f>
        <v>1</v>
      </c>
    </row>
    <row r="46">
      <c r="A46" s="9" t="inlineStr">
        <is>
          <t>YM2610154055</t>
        </is>
      </c>
      <c r="B46" s="114" t="n">
        <v>46311</v>
      </c>
      <c r="C46" s="9" t="inlineStr">
        <is>
          <t>Mumbai</t>
        </is>
      </c>
      <c r="D46" s="9" t="inlineStr">
        <is>
          <t>MUM-2</t>
        </is>
      </c>
      <c r="E46" s="9" t="inlineStr">
        <is>
          <t>P-18701</t>
        </is>
      </c>
      <c r="F46" s="9" t="inlineStr">
        <is>
          <t>Waxing</t>
        </is>
      </c>
      <c r="G46" s="9" t="inlineStr">
        <is>
          <t>17–20</t>
        </is>
      </c>
      <c r="H46" s="9" t="inlineStr">
        <is>
          <t>Completed</t>
        </is>
      </c>
      <c r="I46" s="9" t="inlineStr">
        <is>
          <t>Y</t>
        </is>
      </c>
      <c r="J46" s="9" t="n"/>
      <c r="K46" s="9" t="inlineStr">
        <is>
          <t>N</t>
        </is>
      </c>
      <c r="L46" s="9" t="n"/>
      <c r="M46" s="116">
        <f>--(COUNTIF($A$2:A46,A46)=1)</f>
        <v>1</v>
      </c>
    </row>
    <row r="47">
      <c r="A47" s="9" t="inlineStr">
        <is>
          <t>YM2610158659</t>
        </is>
      </c>
      <c r="B47" s="114" t="n">
        <v>46310</v>
      </c>
      <c r="C47" s="9" t="inlineStr">
        <is>
          <t>Bengaluru</t>
        </is>
      </c>
      <c r="D47" s="9" t="inlineStr">
        <is>
          <t>BLR-1</t>
        </is>
      </c>
      <c r="E47" s="9" t="inlineStr">
        <is>
          <t>P-16497</t>
        </is>
      </c>
      <c r="F47" s="9" t="inlineStr">
        <is>
          <t>Waxing</t>
        </is>
      </c>
      <c r="G47" s="9" t="inlineStr">
        <is>
          <t>17–20</t>
        </is>
      </c>
      <c r="H47" s="9" t="inlineStr">
        <is>
          <t>Completed</t>
        </is>
      </c>
      <c r="I47" s="9" t="inlineStr">
        <is>
          <t>Y</t>
        </is>
      </c>
      <c r="J47" s="9" t="n"/>
      <c r="K47" s="9" t="inlineStr">
        <is>
          <t>N</t>
        </is>
      </c>
      <c r="L47" s="9" t="n"/>
      <c r="M47" s="116">
        <f>--(COUNTIF($A$2:A47,A47)=1)</f>
        <v>1</v>
      </c>
    </row>
    <row r="48">
      <c r="A48" s="9" t="inlineStr">
        <is>
          <t>YM2610209080</t>
        </is>
      </c>
      <c r="B48" s="114" t="n">
        <v>46309</v>
      </c>
      <c r="C48" s="9" t="inlineStr">
        <is>
          <t>Pune</t>
        </is>
      </c>
      <c r="D48" s="9" t="inlineStr">
        <is>
          <t>PUN-1</t>
        </is>
      </c>
      <c r="E48" s="9" t="inlineStr">
        <is>
          <t>P-17133</t>
        </is>
      </c>
      <c r="F48" s="9" t="inlineStr">
        <is>
          <t>Mani-pedi</t>
        </is>
      </c>
      <c r="G48" s="9" t="inlineStr">
        <is>
          <t>14–17</t>
        </is>
      </c>
      <c r="H48" s="9" t="inlineStr">
        <is>
          <t>Completed</t>
        </is>
      </c>
      <c r="I48" s="9" t="inlineStr">
        <is>
          <t>Y</t>
        </is>
      </c>
      <c r="J48" s="9" t="n">
        <v>5</v>
      </c>
      <c r="K48" s="9" t="inlineStr">
        <is>
          <t>N</t>
        </is>
      </c>
      <c r="L48" s="9" t="n"/>
      <c r="M48" s="116">
        <f>--(COUNTIF($A$2:A48,A48)=1)</f>
        <v>1</v>
      </c>
    </row>
    <row r="49">
      <c r="A49" s="9" t="inlineStr">
        <is>
          <t>YM2610147116</t>
        </is>
      </c>
      <c r="B49" s="114" t="n">
        <v>46310</v>
      </c>
      <c r="C49" s="9" t="inlineStr">
        <is>
          <t>Mumbai</t>
        </is>
      </c>
      <c r="D49" s="9" t="inlineStr">
        <is>
          <t>MUM-4</t>
        </is>
      </c>
      <c r="E49" s="9" t="n"/>
      <c r="F49" s="9" t="inlineStr">
        <is>
          <t>Makeup</t>
        </is>
      </c>
      <c r="G49" s="9" t="inlineStr">
        <is>
          <t>8–11</t>
        </is>
      </c>
      <c r="H49" s="9" t="inlineStr">
        <is>
          <t>Unassigned</t>
        </is>
      </c>
      <c r="I49" s="9" t="n"/>
      <c r="J49" s="9" t="n"/>
      <c r="K49" s="9" t="n"/>
      <c r="L49" s="9" t="n"/>
      <c r="M49" s="116">
        <f>--(COUNTIF($A$2:A49,A49)=1)</f>
        <v>1</v>
      </c>
    </row>
    <row r="50">
      <c r="A50" s="9" t="inlineStr">
        <is>
          <t>YM2610179910</t>
        </is>
      </c>
      <c r="B50" s="114" t="n">
        <v>46307</v>
      </c>
      <c r="C50" s="9" t="inlineStr">
        <is>
          <t>Rest of India</t>
        </is>
      </c>
      <c r="D50" s="9" t="inlineStr">
        <is>
          <t>CHD-1</t>
        </is>
      </c>
      <c r="E50" s="9" t="inlineStr">
        <is>
          <t>P-22676</t>
        </is>
      </c>
      <c r="F50" s="9" t="inlineStr">
        <is>
          <t>Waxing</t>
        </is>
      </c>
      <c r="G50" s="9" t="inlineStr">
        <is>
          <t>14–17</t>
        </is>
      </c>
      <c r="H50" s="9" t="inlineStr">
        <is>
          <t>Completed</t>
        </is>
      </c>
      <c r="I50" s="9" t="inlineStr">
        <is>
          <t>N</t>
        </is>
      </c>
      <c r="J50" s="9" t="n"/>
      <c r="K50" s="9" t="inlineStr">
        <is>
          <t>N</t>
        </is>
      </c>
      <c r="L50" s="9" t="n"/>
      <c r="M50" s="116">
        <f>--(COUNTIF($A$2:A50,A50)=1)</f>
        <v>1</v>
      </c>
    </row>
    <row r="51">
      <c r="A51" s="9" t="inlineStr">
        <is>
          <t>YM2610138380</t>
        </is>
      </c>
      <c r="B51" s="114" t="n">
        <v>46308</v>
      </c>
      <c r="C51" s="9" t="inlineStr">
        <is>
          <t>Bengaluru</t>
        </is>
      </c>
      <c r="D51" s="9" t="inlineStr">
        <is>
          <t>BLR-3</t>
        </is>
      </c>
      <c r="E51" s="9" t="n"/>
      <c r="F51" s="9" t="inlineStr">
        <is>
          <t>Threading &amp; de-tan</t>
        </is>
      </c>
      <c r="G51" s="9" t="inlineStr">
        <is>
          <t>14–17</t>
        </is>
      </c>
      <c r="H51" s="9" t="inlineStr">
        <is>
          <t>Unassigned</t>
        </is>
      </c>
      <c r="I51" s="9" t="n"/>
      <c r="J51" s="9" t="n"/>
      <c r="K51" s="9" t="n"/>
      <c r="L51" s="9" t="n"/>
      <c r="M51" s="116">
        <f>--(COUNTIF($A$2:A51,A51)=1)</f>
        <v>1</v>
      </c>
    </row>
    <row r="52">
      <c r="A52" s="9" t="inlineStr">
        <is>
          <t>YM2610185447</t>
        </is>
      </c>
      <c r="B52" s="114" t="n">
        <v>46308</v>
      </c>
      <c r="C52" s="9" t="inlineStr">
        <is>
          <t>Hyderabad</t>
        </is>
      </c>
      <c r="D52" s="9" t="inlineStr">
        <is>
          <t>HYD-1</t>
        </is>
      </c>
      <c r="E52" s="9" t="inlineStr">
        <is>
          <t>P-23284</t>
        </is>
      </c>
      <c r="F52" s="9" t="inlineStr">
        <is>
          <t>Facial &amp; clean-up</t>
        </is>
      </c>
      <c r="G52" s="9" t="inlineStr">
        <is>
          <t>20–22</t>
        </is>
      </c>
      <c r="H52" s="9" t="inlineStr">
        <is>
          <t>Completed</t>
        </is>
      </c>
      <c r="I52" s="9" t="inlineStr">
        <is>
          <t>Y</t>
        </is>
      </c>
      <c r="J52" s="9" t="n">
        <v>5</v>
      </c>
      <c r="K52" s="9" t="inlineStr">
        <is>
          <t>N</t>
        </is>
      </c>
      <c r="L52" s="9" t="n"/>
      <c r="M52" s="116">
        <f>--(COUNTIF($A$2:A52,A52)=1)</f>
        <v>1</v>
      </c>
    </row>
    <row r="53">
      <c r="A53" s="9" t="inlineStr">
        <is>
          <t>YM2610136734</t>
        </is>
      </c>
      <c r="B53" s="114" t="n">
        <v>46313</v>
      </c>
      <c r="C53" s="9" t="inlineStr">
        <is>
          <t>Noida &amp; Ghaziabad</t>
        </is>
      </c>
      <c r="D53" s="9" t="inlineStr">
        <is>
          <t>NOI-1</t>
        </is>
      </c>
      <c r="E53" s="9" t="inlineStr">
        <is>
          <t>P-10384</t>
        </is>
      </c>
      <c r="F53" s="9" t="inlineStr">
        <is>
          <t>Laser &amp; Hydra</t>
        </is>
      </c>
      <c r="G53" s="9" t="inlineStr">
        <is>
          <t>8–11</t>
        </is>
      </c>
      <c r="H53" s="9" t="inlineStr">
        <is>
          <t>Completed</t>
        </is>
      </c>
      <c r="I53" s="9" t="inlineStr">
        <is>
          <t>Y</t>
        </is>
      </c>
      <c r="J53" s="9" t="n"/>
      <c r="K53" s="9" t="inlineStr">
        <is>
          <t>N</t>
        </is>
      </c>
      <c r="L53" s="9" t="n"/>
      <c r="M53" s="116">
        <f>--(COUNTIF($A$2:A53,A53)=1)</f>
        <v>1</v>
      </c>
    </row>
    <row r="54">
      <c r="A54" s="9" t="inlineStr">
        <is>
          <t>YM2610127326</t>
        </is>
      </c>
      <c r="B54" s="114" t="n">
        <v>46313</v>
      </c>
      <c r="C54" s="9" t="inlineStr">
        <is>
          <t>Noida &amp; Ghaziabad</t>
        </is>
      </c>
      <c r="D54" s="9" t="inlineStr">
        <is>
          <t>NOI-3</t>
        </is>
      </c>
      <c r="E54" s="9" t="inlineStr">
        <is>
          <t>P-13332</t>
        </is>
      </c>
      <c r="F54" s="9" t="inlineStr">
        <is>
          <t>Waxing</t>
        </is>
      </c>
      <c r="G54" s="9" t="inlineStr">
        <is>
          <t>14–17</t>
        </is>
      </c>
      <c r="H54" s="9" t="inlineStr">
        <is>
          <t>Completed</t>
        </is>
      </c>
      <c r="I54" s="9" t="inlineStr">
        <is>
          <t>Y</t>
        </is>
      </c>
      <c r="J54" s="9" t="n">
        <v>5</v>
      </c>
      <c r="K54" s="9" t="inlineStr">
        <is>
          <t>N</t>
        </is>
      </c>
      <c r="L54" s="9" t="n"/>
      <c r="M54" s="116">
        <f>--(COUNTIF($A$2:A54,A54)=1)</f>
        <v>1</v>
      </c>
    </row>
    <row r="55">
      <c r="A55" s="9" t="inlineStr">
        <is>
          <t>YM2610177065</t>
        </is>
      </c>
      <c r="B55" s="114" t="n">
        <v>46313</v>
      </c>
      <c r="C55" s="9" t="inlineStr">
        <is>
          <t>Delhi</t>
        </is>
      </c>
      <c r="D55" s="9" t="inlineStr">
        <is>
          <t>DEL-1</t>
        </is>
      </c>
      <c r="E55" s="9" t="inlineStr">
        <is>
          <t>P-23108</t>
        </is>
      </c>
      <c r="F55" s="9" t="inlineStr">
        <is>
          <t>Laser &amp; Hydra</t>
        </is>
      </c>
      <c r="G55" s="9" t="inlineStr">
        <is>
          <t>11–14</t>
        </is>
      </c>
      <c r="H55" s="9" t="inlineStr">
        <is>
          <t>Completed</t>
        </is>
      </c>
      <c r="I55" s="9" t="inlineStr">
        <is>
          <t>N</t>
        </is>
      </c>
      <c r="J55" s="9" t="n"/>
      <c r="K55" s="9" t="inlineStr">
        <is>
          <t>N</t>
        </is>
      </c>
      <c r="L55" s="9" t="n"/>
      <c r="M55" s="116">
        <f>--(COUNTIF($A$2:A55,A55)=1)</f>
        <v>1</v>
      </c>
    </row>
    <row r="56">
      <c r="A56" s="9" t="inlineStr">
        <is>
          <t>YM2610205474</t>
        </is>
      </c>
      <c r="B56" s="114" t="n">
        <v>46307</v>
      </c>
      <c r="C56" s="9" t="inlineStr">
        <is>
          <t>Hyderabad</t>
        </is>
      </c>
      <c r="D56" s="9" t="inlineStr">
        <is>
          <t>HYD-1</t>
        </is>
      </c>
      <c r="E56" s="9" t="inlineStr">
        <is>
          <t>P-25911</t>
        </is>
      </c>
      <c r="F56" s="9" t="inlineStr">
        <is>
          <t>Waxing</t>
        </is>
      </c>
      <c r="G56" s="9" t="inlineStr">
        <is>
          <t>17–20</t>
        </is>
      </c>
      <c r="H56" s="9" t="inlineStr">
        <is>
          <t>Completed</t>
        </is>
      </c>
      <c r="I56" s="9" t="inlineStr">
        <is>
          <t>N</t>
        </is>
      </c>
      <c r="J56" s="9" t="n"/>
      <c r="K56" s="9" t="inlineStr">
        <is>
          <t>N</t>
        </is>
      </c>
      <c r="L56" s="9" t="n"/>
      <c r="M56" s="116">
        <f>--(COUNTIF($A$2:A56,A56)=1)</f>
        <v>1</v>
      </c>
    </row>
    <row r="57">
      <c r="A57" s="9" t="inlineStr">
        <is>
          <t>YM2610155100</t>
        </is>
      </c>
      <c r="B57" s="114" t="n">
        <v>46309</v>
      </c>
      <c r="C57" s="9" t="inlineStr">
        <is>
          <t>Mumbai</t>
        </is>
      </c>
      <c r="D57" s="9" t="inlineStr">
        <is>
          <t>MUM-4</t>
        </is>
      </c>
      <c r="E57" s="9" t="inlineStr">
        <is>
          <t>P-17820</t>
        </is>
      </c>
      <c r="F57" s="9" t="inlineStr">
        <is>
          <t>Facial &amp; clean-up</t>
        </is>
      </c>
      <c r="G57" s="9" t="inlineStr">
        <is>
          <t>11–14</t>
        </is>
      </c>
      <c r="H57" s="9" t="inlineStr">
        <is>
          <t>Completed</t>
        </is>
      </c>
      <c r="I57" s="9" t="inlineStr">
        <is>
          <t>Y</t>
        </is>
      </c>
      <c r="J57" s="9" t="n"/>
      <c r="K57" s="9" t="inlineStr">
        <is>
          <t>N</t>
        </is>
      </c>
      <c r="L57" s="9" t="n"/>
      <c r="M57" s="116">
        <f>--(COUNTIF($A$2:A57,A57)=1)</f>
        <v>1</v>
      </c>
    </row>
    <row r="58">
      <c r="A58" s="9" t="inlineStr">
        <is>
          <t>YM2610186152</t>
        </is>
      </c>
      <c r="B58" s="114" t="n">
        <v>46308</v>
      </c>
      <c r="C58" s="9" t="inlineStr">
        <is>
          <t>Delhi</t>
        </is>
      </c>
      <c r="D58" s="9" t="inlineStr">
        <is>
          <t>DEL-3</t>
        </is>
      </c>
      <c r="E58" s="9" t="n"/>
      <c r="F58" s="9" t="inlineStr">
        <is>
          <t>Waxing</t>
        </is>
      </c>
      <c r="G58" s="9" t="inlineStr">
        <is>
          <t>11–14</t>
        </is>
      </c>
      <c r="H58" s="9" t="inlineStr">
        <is>
          <t>Unassigned</t>
        </is>
      </c>
      <c r="I58" s="9" t="n"/>
      <c r="J58" s="9" t="n"/>
      <c r="K58" s="9" t="n"/>
      <c r="L58" s="9" t="n"/>
      <c r="M58" s="116">
        <f>--(COUNTIF($A$2:A58,A58)=1)</f>
        <v>1</v>
      </c>
    </row>
    <row r="59">
      <c r="A59" s="9" t="inlineStr">
        <is>
          <t>YM2610165820</t>
        </is>
      </c>
      <c r="B59" s="114" t="n">
        <v>46313</v>
      </c>
      <c r="C59" s="9" t="inlineStr">
        <is>
          <t>Rest of India</t>
        </is>
      </c>
      <c r="D59" s="9" t="inlineStr">
        <is>
          <t>JAI-1</t>
        </is>
      </c>
      <c r="E59" s="9" t="inlineStr">
        <is>
          <t>P-20462</t>
        </is>
      </c>
      <c r="F59" s="9" t="inlineStr">
        <is>
          <t>Waxing</t>
        </is>
      </c>
      <c r="G59" s="9" t="inlineStr">
        <is>
          <t>14–17</t>
        </is>
      </c>
      <c r="H59" s="9" t="inlineStr">
        <is>
          <t>Completed</t>
        </is>
      </c>
      <c r="I59" s="9" t="inlineStr">
        <is>
          <t>Y</t>
        </is>
      </c>
      <c r="J59" s="9" t="n">
        <v>5</v>
      </c>
      <c r="K59" s="9" t="inlineStr">
        <is>
          <t>N</t>
        </is>
      </c>
      <c r="L59" s="9" t="n"/>
      <c r="M59" s="116">
        <f>--(COUNTIF($A$2:A59,A59)=1)</f>
        <v>1</v>
      </c>
    </row>
    <row r="60">
      <c r="A60" s="9" t="inlineStr">
        <is>
          <t>YM2610165328</t>
        </is>
      </c>
      <c r="B60" s="114" t="n">
        <v>46312</v>
      </c>
      <c r="C60" s="9" t="inlineStr">
        <is>
          <t>Rest of India</t>
        </is>
      </c>
      <c r="D60" s="9" t="inlineStr">
        <is>
          <t>JAI-1</t>
        </is>
      </c>
      <c r="E60" s="9" t="inlineStr">
        <is>
          <t>P-26323</t>
        </is>
      </c>
      <c r="F60" s="9" t="inlineStr">
        <is>
          <t>Facial &amp; clean-up</t>
        </is>
      </c>
      <c r="G60" s="9" t="inlineStr">
        <is>
          <t>11–14</t>
        </is>
      </c>
      <c r="H60" s="9" t="inlineStr">
        <is>
          <t>Completed</t>
        </is>
      </c>
      <c r="I60" s="9" t="inlineStr">
        <is>
          <t>N</t>
        </is>
      </c>
      <c r="J60" s="9" t="n">
        <v>5</v>
      </c>
      <c r="K60" s="9" t="inlineStr">
        <is>
          <t>N</t>
        </is>
      </c>
      <c r="L60" s="9" t="n"/>
      <c r="M60" s="116">
        <f>--(COUNTIF($A$2:A60,A60)=1)</f>
        <v>1</v>
      </c>
    </row>
    <row r="61">
      <c r="A61" s="9" t="inlineStr">
        <is>
          <t>YM2610173396</t>
        </is>
      </c>
      <c r="B61" s="114" t="n">
        <v>46312</v>
      </c>
      <c r="C61" s="9" t="inlineStr">
        <is>
          <t>Mumbai</t>
        </is>
      </c>
      <c r="D61" s="9" t="inlineStr">
        <is>
          <t>MUM-5</t>
        </is>
      </c>
      <c r="E61" s="9" t="inlineStr">
        <is>
          <t>P-24609</t>
        </is>
      </c>
      <c r="F61" s="9" t="inlineStr">
        <is>
          <t>Facial &amp; clean-up</t>
        </is>
      </c>
      <c r="G61" s="9" t="inlineStr">
        <is>
          <t>17–20</t>
        </is>
      </c>
      <c r="H61" s="9" t="inlineStr">
        <is>
          <t>Completed</t>
        </is>
      </c>
      <c r="I61" s="9" t="inlineStr">
        <is>
          <t>Y</t>
        </is>
      </c>
      <c r="J61" s="9" t="n">
        <v>5</v>
      </c>
      <c r="K61" s="9" t="inlineStr">
        <is>
          <t>N</t>
        </is>
      </c>
      <c r="L61" s="9" t="n"/>
      <c r="M61" s="116">
        <f>--(COUNTIF($A$2:A61,A61)=1)</f>
        <v>1</v>
      </c>
    </row>
    <row r="62">
      <c r="A62" s="9" t="inlineStr">
        <is>
          <t>YM2610197962</t>
        </is>
      </c>
      <c r="B62" s="114" t="n">
        <v>46308</v>
      </c>
      <c r="C62" s="9" t="inlineStr">
        <is>
          <t>Rest of India</t>
        </is>
      </c>
      <c r="D62" s="9" t="inlineStr">
        <is>
          <t>AHM-2</t>
        </is>
      </c>
      <c r="E62" s="9" t="inlineStr">
        <is>
          <t>P-10005</t>
        </is>
      </c>
      <c r="F62" s="9" t="inlineStr">
        <is>
          <t>Waxing</t>
        </is>
      </c>
      <c r="G62" s="9" t="inlineStr">
        <is>
          <t>11–14</t>
        </is>
      </c>
      <c r="H62" s="9" t="inlineStr">
        <is>
          <t>Completed</t>
        </is>
      </c>
      <c r="I62" s="9" t="inlineStr">
        <is>
          <t>N</t>
        </is>
      </c>
      <c r="J62" s="9" t="n"/>
      <c r="K62" s="9" t="inlineStr">
        <is>
          <t>N</t>
        </is>
      </c>
      <c r="L62" s="9" t="n"/>
      <c r="M62" s="116">
        <f>--(COUNTIF($A$2:A62,A62)=1)</f>
        <v>1</v>
      </c>
    </row>
    <row r="63">
      <c r="A63" s="9" t="inlineStr">
        <is>
          <t>YM2610210400</t>
        </is>
      </c>
      <c r="B63" s="114" t="n">
        <v>46310</v>
      </c>
      <c r="C63" s="9" t="inlineStr">
        <is>
          <t>Mumbai</t>
        </is>
      </c>
      <c r="D63" s="9" t="inlineStr">
        <is>
          <t>MUM-2</t>
        </is>
      </c>
      <c r="E63" s="9" t="inlineStr">
        <is>
          <t>P-24985</t>
        </is>
      </c>
      <c r="F63" s="9" t="inlineStr">
        <is>
          <t>Waxing</t>
        </is>
      </c>
      <c r="G63" s="9" t="inlineStr">
        <is>
          <t>14–17</t>
        </is>
      </c>
      <c r="H63" s="9" t="inlineStr">
        <is>
          <t>Completed</t>
        </is>
      </c>
      <c r="I63" s="9" t="inlineStr">
        <is>
          <t>Y</t>
        </is>
      </c>
      <c r="J63" s="9" t="n">
        <v>5</v>
      </c>
      <c r="K63" s="9" t="inlineStr">
        <is>
          <t>Y</t>
        </is>
      </c>
      <c r="L63" s="9" t="n"/>
      <c r="M63" s="116">
        <f>--(COUNTIF($A$2:A63,A63)=1)</f>
        <v>1</v>
      </c>
    </row>
    <row r="64">
      <c r="A64" s="9" t="inlineStr">
        <is>
          <t>YM2610203113</t>
        </is>
      </c>
      <c r="B64" s="114" t="n">
        <v>46311</v>
      </c>
      <c r="C64" s="9" t="inlineStr">
        <is>
          <t>Delhi</t>
        </is>
      </c>
      <c r="D64" s="9" t="inlineStr">
        <is>
          <t>DEL-2</t>
        </is>
      </c>
      <c r="E64" s="9" t="inlineStr">
        <is>
          <t>P-27309</t>
        </is>
      </c>
      <c r="F64" s="9" t="inlineStr">
        <is>
          <t>Hair care</t>
        </is>
      </c>
      <c r="G64" s="9" t="inlineStr">
        <is>
          <t>8–11</t>
        </is>
      </c>
      <c r="H64" s="9" t="inlineStr">
        <is>
          <t>Completed</t>
        </is>
      </c>
      <c r="I64" s="9" t="inlineStr">
        <is>
          <t>Y</t>
        </is>
      </c>
      <c r="J64" s="9" t="n"/>
      <c r="K64" s="9" t="inlineStr">
        <is>
          <t>N</t>
        </is>
      </c>
      <c r="L64" s="9" t="n"/>
      <c r="M64" s="116">
        <f>--(COUNTIF($A$2:A64,A64)=1)</f>
        <v>1</v>
      </c>
    </row>
    <row r="65">
      <c r="A65" s="9" t="inlineStr">
        <is>
          <t>YM2610122371</t>
        </is>
      </c>
      <c r="B65" s="114" t="n">
        <v>46311</v>
      </c>
      <c r="C65" s="9" t="inlineStr">
        <is>
          <t>Delhi</t>
        </is>
      </c>
      <c r="D65" s="9" t="inlineStr">
        <is>
          <t>DEL-3</t>
        </is>
      </c>
      <c r="E65" s="9" t="inlineStr">
        <is>
          <t>P-19880</t>
        </is>
      </c>
      <c r="F65" s="9" t="inlineStr">
        <is>
          <t>Makeup</t>
        </is>
      </c>
      <c r="G65" s="9" t="inlineStr">
        <is>
          <t>14–17</t>
        </is>
      </c>
      <c r="H65" s="9" t="inlineStr">
        <is>
          <t>Completed</t>
        </is>
      </c>
      <c r="I65" s="9" t="inlineStr">
        <is>
          <t>Y</t>
        </is>
      </c>
      <c r="J65" s="9" t="n">
        <v>5</v>
      </c>
      <c r="K65" s="9" t="inlineStr">
        <is>
          <t>N</t>
        </is>
      </c>
      <c r="L65" s="9" t="n"/>
      <c r="M65" s="116">
        <f>--(COUNTIF($A$2:A65,A65)=1)</f>
        <v>1</v>
      </c>
    </row>
    <row r="66">
      <c r="A66" s="9" t="inlineStr">
        <is>
          <t>YM2610206150</t>
        </is>
      </c>
      <c r="B66" s="114" t="n">
        <v>46309</v>
      </c>
      <c r="C66" s="9" t="inlineStr">
        <is>
          <t>Rest of India</t>
        </is>
      </c>
      <c r="D66" s="9" t="inlineStr">
        <is>
          <t>CHD-1</t>
        </is>
      </c>
      <c r="E66" s="9" t="inlineStr">
        <is>
          <t>P-11812</t>
        </is>
      </c>
      <c r="F66" s="9" t="inlineStr">
        <is>
          <t>Waxing</t>
        </is>
      </c>
      <c r="G66" s="9" t="inlineStr">
        <is>
          <t>14–17</t>
        </is>
      </c>
      <c r="H66" s="9" t="inlineStr">
        <is>
          <t>Completed</t>
        </is>
      </c>
      <c r="I66" s="9" t="inlineStr">
        <is>
          <t>Y</t>
        </is>
      </c>
      <c r="J66" s="9" t="n">
        <v>5</v>
      </c>
      <c r="K66" s="9" t="inlineStr">
        <is>
          <t>N</t>
        </is>
      </c>
      <c r="L66" s="9" t="n"/>
      <c r="M66" s="116">
        <f>--(COUNTIF($A$2:A66,A66)=1)</f>
        <v>1</v>
      </c>
    </row>
    <row r="67">
      <c r="A67" s="9" t="inlineStr">
        <is>
          <t>YM2610150725</t>
        </is>
      </c>
      <c r="B67" s="114" t="n">
        <v>46309</v>
      </c>
      <c r="C67" s="9" t="inlineStr">
        <is>
          <t>Mumbai</t>
        </is>
      </c>
      <c r="D67" s="9" t="inlineStr">
        <is>
          <t>MUM-4</t>
        </is>
      </c>
      <c r="E67" s="9" t="n"/>
      <c r="F67" s="9" t="inlineStr">
        <is>
          <t>Waxing</t>
        </is>
      </c>
      <c r="G67" s="9" t="inlineStr">
        <is>
          <t>17–20</t>
        </is>
      </c>
      <c r="H67" s="9" t="inlineStr">
        <is>
          <t>Unassigned</t>
        </is>
      </c>
      <c r="I67" s="9" t="n"/>
      <c r="J67" s="9" t="n"/>
      <c r="K67" s="9" t="n"/>
      <c r="L67" s="9" t="n"/>
      <c r="M67" s="116">
        <f>--(COUNTIF($A$2:A67,A67)=1)</f>
        <v>1</v>
      </c>
    </row>
    <row r="68">
      <c r="A68" s="9" t="inlineStr">
        <is>
          <t>YM2610217879</t>
        </is>
      </c>
      <c r="B68" s="114" t="n">
        <v>46310</v>
      </c>
      <c r="C68" s="9" t="inlineStr">
        <is>
          <t>Noida &amp; Ghaziabad</t>
        </is>
      </c>
      <c r="D68" s="9" t="inlineStr">
        <is>
          <t>GZB-1</t>
        </is>
      </c>
      <c r="E68" s="9" t="inlineStr">
        <is>
          <t>P-12209</t>
        </is>
      </c>
      <c r="F68" s="9" t="inlineStr">
        <is>
          <t>Waxing</t>
        </is>
      </c>
      <c r="G68" s="9" t="inlineStr">
        <is>
          <t>17–20</t>
        </is>
      </c>
      <c r="H68" s="9" t="inlineStr">
        <is>
          <t>Completed</t>
        </is>
      </c>
      <c r="I68" s="9" t="inlineStr">
        <is>
          <t>N</t>
        </is>
      </c>
      <c r="J68" s="9" t="n"/>
      <c r="K68" s="9" t="inlineStr">
        <is>
          <t>N</t>
        </is>
      </c>
      <c r="L68" s="9" t="n"/>
      <c r="M68" s="116">
        <f>--(COUNTIF($A$2:A68,A68)=1)</f>
        <v>1</v>
      </c>
    </row>
    <row r="69">
      <c r="A69" s="9" t="inlineStr">
        <is>
          <t>YM2610185980</t>
        </is>
      </c>
      <c r="B69" s="114" t="n">
        <v>46308</v>
      </c>
      <c r="C69" s="9" t="inlineStr">
        <is>
          <t>Rest of India</t>
        </is>
      </c>
      <c r="D69" s="9" t="inlineStr">
        <is>
          <t>LKO-1</t>
        </is>
      </c>
      <c r="E69" s="9" t="inlineStr">
        <is>
          <t>P-17317</t>
        </is>
      </c>
      <c r="F69" s="9" t="inlineStr">
        <is>
          <t>Massage &amp; body</t>
        </is>
      </c>
      <c r="G69" s="9" t="inlineStr">
        <is>
          <t>11–14</t>
        </is>
      </c>
      <c r="H69" s="9" t="inlineStr">
        <is>
          <t>Completed</t>
        </is>
      </c>
      <c r="I69" s="9" t="inlineStr">
        <is>
          <t>N</t>
        </is>
      </c>
      <c r="J69" s="9" t="n">
        <v>4</v>
      </c>
      <c r="K69" s="9" t="inlineStr">
        <is>
          <t>N</t>
        </is>
      </c>
      <c r="L69" s="9" t="n"/>
      <c r="M69" s="116">
        <f>--(COUNTIF($A$2:A69,A69)=1)</f>
        <v>1</v>
      </c>
    </row>
    <row r="70">
      <c r="A70" s="9" t="inlineStr">
        <is>
          <t>YM2610214042</t>
        </is>
      </c>
      <c r="B70" s="114" t="n">
        <v>46313</v>
      </c>
      <c r="C70" s="9" t="inlineStr">
        <is>
          <t>Bengaluru</t>
        </is>
      </c>
      <c r="D70" s="9" t="inlineStr">
        <is>
          <t>BLR-1</t>
        </is>
      </c>
      <c r="E70" s="9" t="inlineStr">
        <is>
          <t>P-16032</t>
        </is>
      </c>
      <c r="F70" s="9" t="inlineStr">
        <is>
          <t>Facial &amp; clean-up</t>
        </is>
      </c>
      <c r="G70" s="9" t="inlineStr">
        <is>
          <t>8–11</t>
        </is>
      </c>
      <c r="H70" s="9" t="inlineStr">
        <is>
          <t>Completed</t>
        </is>
      </c>
      <c r="I70" s="9" t="inlineStr">
        <is>
          <t>N</t>
        </is>
      </c>
      <c r="J70" s="9" t="n">
        <v>5</v>
      </c>
      <c r="K70" s="9" t="inlineStr">
        <is>
          <t>N</t>
        </is>
      </c>
      <c r="L70" s="9" t="n"/>
      <c r="M70" s="116">
        <f>--(COUNTIF($A$2:A70,A70)=1)</f>
        <v>1</v>
      </c>
    </row>
    <row r="71">
      <c r="A71" s="9" t="inlineStr">
        <is>
          <t>YM2610218820</t>
        </is>
      </c>
      <c r="B71" s="114" t="n">
        <v>46313</v>
      </c>
      <c r="C71" s="9" t="inlineStr">
        <is>
          <t>Hyderabad</t>
        </is>
      </c>
      <c r="D71" s="9" t="inlineStr">
        <is>
          <t>HYD-1</t>
        </is>
      </c>
      <c r="E71" s="9" t="inlineStr">
        <is>
          <t>P-11045</t>
        </is>
      </c>
      <c r="F71" s="9" t="inlineStr">
        <is>
          <t>Facial &amp; clean-up</t>
        </is>
      </c>
      <c r="G71" s="9" t="inlineStr">
        <is>
          <t>20–22</t>
        </is>
      </c>
      <c r="H71" s="9" t="inlineStr">
        <is>
          <t>Completed</t>
        </is>
      </c>
      <c r="I71" s="9" t="inlineStr">
        <is>
          <t>Y</t>
        </is>
      </c>
      <c r="J71" s="9" t="n">
        <v>4</v>
      </c>
      <c r="K71" s="9" t="inlineStr">
        <is>
          <t>N</t>
        </is>
      </c>
      <c r="L71" s="9" t="n"/>
      <c r="M71" s="116">
        <f>--(COUNTIF($A$2:A71,A71)=1)</f>
        <v>1</v>
      </c>
    </row>
    <row r="72">
      <c r="A72" s="9" t="inlineStr">
        <is>
          <t>YM2610137214</t>
        </is>
      </c>
      <c r="B72" s="114" t="n">
        <v>46310</v>
      </c>
      <c r="C72" s="9" t="inlineStr">
        <is>
          <t>Rest of India</t>
        </is>
      </c>
      <c r="D72" s="9" t="inlineStr">
        <is>
          <t>LKO-1</t>
        </is>
      </c>
      <c r="E72" s="9" t="inlineStr">
        <is>
          <t>P-22456</t>
        </is>
      </c>
      <c r="F72" s="9" t="inlineStr">
        <is>
          <t>Facial &amp; clean-up</t>
        </is>
      </c>
      <c r="G72" s="9" t="inlineStr">
        <is>
          <t>8–11</t>
        </is>
      </c>
      <c r="H72" s="9" t="inlineStr">
        <is>
          <t>Completed</t>
        </is>
      </c>
      <c r="I72" s="9" t="inlineStr">
        <is>
          <t>Y</t>
        </is>
      </c>
      <c r="J72" s="9" t="n">
        <v>5</v>
      </c>
      <c r="K72" s="9" t="inlineStr">
        <is>
          <t>N</t>
        </is>
      </c>
      <c r="L72" s="9" t="n"/>
      <c r="M72" s="116">
        <f>--(COUNTIF($A$2:A72,A72)=1)</f>
        <v>1</v>
      </c>
    </row>
    <row r="73">
      <c r="A73" s="9" t="inlineStr">
        <is>
          <t>YM2610146300</t>
        </is>
      </c>
      <c r="B73" s="114" t="n">
        <v>46307</v>
      </c>
      <c r="C73" s="9" t="inlineStr">
        <is>
          <t>Mumbai</t>
        </is>
      </c>
      <c r="D73" s="9" t="inlineStr">
        <is>
          <t>MUM-4</t>
        </is>
      </c>
      <c r="E73" s="9" t="inlineStr">
        <is>
          <t>P-21935</t>
        </is>
      </c>
      <c r="F73" s="9" t="inlineStr">
        <is>
          <t>Mani-pedi</t>
        </is>
      </c>
      <c r="G73" s="9" t="inlineStr">
        <is>
          <t>14–17</t>
        </is>
      </c>
      <c r="H73" s="9" t="inlineStr">
        <is>
          <t>Completed</t>
        </is>
      </c>
      <c r="I73" s="9" t="inlineStr">
        <is>
          <t>Y</t>
        </is>
      </c>
      <c r="J73" s="9" t="n"/>
      <c r="K73" s="9" t="inlineStr">
        <is>
          <t>N</t>
        </is>
      </c>
      <c r="L73" s="9" t="n"/>
      <c r="M73" s="116">
        <f>--(COUNTIF($A$2:A73,A73)=1)</f>
        <v>1</v>
      </c>
    </row>
    <row r="74">
      <c r="A74" s="9" t="inlineStr">
        <is>
          <t>YM2610129126</t>
        </is>
      </c>
      <c r="B74" s="114" t="n">
        <v>46312</v>
      </c>
      <c r="C74" s="9" t="inlineStr">
        <is>
          <t>Gurugram</t>
        </is>
      </c>
      <c r="D74" s="9" t="inlineStr">
        <is>
          <t>GGN-2</t>
        </is>
      </c>
      <c r="E74" s="9" t="inlineStr">
        <is>
          <t>P-16387</t>
        </is>
      </c>
      <c r="F74" s="9" t="inlineStr">
        <is>
          <t>Mani-pedi</t>
        </is>
      </c>
      <c r="G74" s="9" t="inlineStr">
        <is>
          <t>11–14</t>
        </is>
      </c>
      <c r="H74" s="9" t="inlineStr">
        <is>
          <t>Completed</t>
        </is>
      </c>
      <c r="I74" s="9" t="inlineStr">
        <is>
          <t>N</t>
        </is>
      </c>
      <c r="J74" s="9" t="n">
        <v>4</v>
      </c>
      <c r="K74" s="9" t="inlineStr">
        <is>
          <t>N</t>
        </is>
      </c>
      <c r="L74" s="9" t="n"/>
      <c r="M74" s="116">
        <f>--(COUNTIF($A$2:A74,A74)=1)</f>
        <v>1</v>
      </c>
    </row>
    <row r="75">
      <c r="A75" s="9" t="inlineStr">
        <is>
          <t>YM2610162482</t>
        </is>
      </c>
      <c r="B75" s="114" t="n">
        <v>46313</v>
      </c>
      <c r="C75" s="9" t="inlineStr">
        <is>
          <t>Gurugram</t>
        </is>
      </c>
      <c r="D75" s="9" t="inlineStr">
        <is>
          <t>GGN-2</t>
        </is>
      </c>
      <c r="E75" s="9" t="inlineStr">
        <is>
          <t>P-19745</t>
        </is>
      </c>
      <c r="F75" s="9" t="inlineStr">
        <is>
          <t>Waxing</t>
        </is>
      </c>
      <c r="G75" s="9" t="inlineStr">
        <is>
          <t>14–17</t>
        </is>
      </c>
      <c r="H75" s="9" t="inlineStr">
        <is>
          <t>Completed</t>
        </is>
      </c>
      <c r="I75" s="9" t="inlineStr">
        <is>
          <t>Y</t>
        </is>
      </c>
      <c r="J75" s="9" t="n"/>
      <c r="K75" s="9" t="inlineStr">
        <is>
          <t>N</t>
        </is>
      </c>
      <c r="L75" s="9" t="n"/>
      <c r="M75" s="116">
        <f>--(COUNTIF($A$2:A75,A75)=1)</f>
        <v>1</v>
      </c>
    </row>
    <row r="76">
      <c r="A76" s="9" t="inlineStr">
        <is>
          <t>YM2610171661</t>
        </is>
      </c>
      <c r="B76" s="114" t="n">
        <v>46313</v>
      </c>
      <c r="C76" s="9" t="inlineStr">
        <is>
          <t>Bengaluru</t>
        </is>
      </c>
      <c r="D76" s="9" t="inlineStr">
        <is>
          <t>BLR-3</t>
        </is>
      </c>
      <c r="E76" s="9" t="inlineStr">
        <is>
          <t>P-24088</t>
        </is>
      </c>
      <c r="F76" s="9" t="inlineStr">
        <is>
          <t>Threading &amp; de-tan</t>
        </is>
      </c>
      <c r="G76" s="9" t="inlineStr">
        <is>
          <t>8–11</t>
        </is>
      </c>
      <c r="H76" s="9" t="inlineStr">
        <is>
          <t>Completed</t>
        </is>
      </c>
      <c r="I76" s="9" t="inlineStr">
        <is>
          <t>Y</t>
        </is>
      </c>
      <c r="J76" s="9" t="n">
        <v>4</v>
      </c>
      <c r="K76" s="9" t="inlineStr">
        <is>
          <t>N</t>
        </is>
      </c>
      <c r="L76" s="9" t="n"/>
      <c r="M76" s="116">
        <f>--(COUNTIF($A$2:A76,A76)=1)</f>
        <v>1</v>
      </c>
    </row>
    <row r="77">
      <c r="A77" s="9" t="inlineStr">
        <is>
          <t>YM2610162883</t>
        </is>
      </c>
      <c r="B77" s="114" t="n">
        <v>46313</v>
      </c>
      <c r="C77" s="9" t="inlineStr">
        <is>
          <t>Delhi</t>
        </is>
      </c>
      <c r="D77" s="9" t="inlineStr">
        <is>
          <t>DEL-2</t>
        </is>
      </c>
      <c r="E77" s="9" t="inlineStr">
        <is>
          <t>P-21857</t>
        </is>
      </c>
      <c r="F77" s="9" t="inlineStr">
        <is>
          <t>Threading &amp; de-tan</t>
        </is>
      </c>
      <c r="G77" s="9" t="inlineStr">
        <is>
          <t>11–14</t>
        </is>
      </c>
      <c r="H77" s="9" t="inlineStr">
        <is>
          <t>Completed</t>
        </is>
      </c>
      <c r="I77" s="9" t="inlineStr">
        <is>
          <t>Y</t>
        </is>
      </c>
      <c r="J77" s="9" t="n">
        <v>5</v>
      </c>
      <c r="K77" s="9" t="inlineStr">
        <is>
          <t>N</t>
        </is>
      </c>
      <c r="L77" s="9" t="n"/>
      <c r="M77" s="116">
        <f>--(COUNTIF($A$2:A77,A77)=1)</f>
        <v>1</v>
      </c>
    </row>
    <row r="78">
      <c r="A78" s="9" t="inlineStr">
        <is>
          <t>YM2610142062</t>
        </is>
      </c>
      <c r="B78" s="114" t="n">
        <v>46308</v>
      </c>
      <c r="C78" s="9" t="inlineStr">
        <is>
          <t>Noida &amp; Ghaziabad</t>
        </is>
      </c>
      <c r="D78" s="9" t="inlineStr">
        <is>
          <t>NOI-3</t>
        </is>
      </c>
      <c r="E78" s="9" t="inlineStr">
        <is>
          <t>P-13447</t>
        </is>
      </c>
      <c r="F78" s="9" t="inlineStr">
        <is>
          <t>Makeup</t>
        </is>
      </c>
      <c r="G78" s="9" t="inlineStr">
        <is>
          <t>11–14</t>
        </is>
      </c>
      <c r="H78" s="9" t="inlineStr">
        <is>
          <t>Completed</t>
        </is>
      </c>
      <c r="I78" s="9" t="inlineStr">
        <is>
          <t>Y</t>
        </is>
      </c>
      <c r="J78" s="9" t="n">
        <v>5</v>
      </c>
      <c r="K78" s="9" t="inlineStr">
        <is>
          <t>N</t>
        </is>
      </c>
      <c r="L78" s="9" t="n"/>
      <c r="M78" s="116">
        <f>--(COUNTIF($A$2:A78,A78)=1)</f>
        <v>1</v>
      </c>
    </row>
    <row r="79">
      <c r="A79" s="9" t="inlineStr">
        <is>
          <t>YM2610202304</t>
        </is>
      </c>
      <c r="B79" s="114" t="n">
        <v>46311</v>
      </c>
      <c r="C79" s="9" t="inlineStr">
        <is>
          <t>Delhi</t>
        </is>
      </c>
      <c r="D79" s="9" t="inlineStr">
        <is>
          <t>DEL-3</t>
        </is>
      </c>
      <c r="E79" s="9" t="inlineStr">
        <is>
          <t>P-17698</t>
        </is>
      </c>
      <c r="F79" s="9" t="inlineStr">
        <is>
          <t>Mani-pedi</t>
        </is>
      </c>
      <c r="G79" s="9" t="inlineStr">
        <is>
          <t>17–20</t>
        </is>
      </c>
      <c r="H79" s="9" t="inlineStr">
        <is>
          <t>Completed</t>
        </is>
      </c>
      <c r="I79" s="9" t="inlineStr">
        <is>
          <t>Y</t>
        </is>
      </c>
      <c r="J79" s="9" t="n">
        <v>5</v>
      </c>
      <c r="K79" s="9" t="inlineStr">
        <is>
          <t>N</t>
        </is>
      </c>
      <c r="L79" s="9" t="n"/>
      <c r="M79" s="116">
        <f>--(COUNTIF($A$2:A79,A79)=1)</f>
        <v>1</v>
      </c>
    </row>
    <row r="80">
      <c r="A80" s="9" t="inlineStr">
        <is>
          <t>YM2610147108</t>
        </is>
      </c>
      <c r="B80" s="114" t="n">
        <v>46313</v>
      </c>
      <c r="C80" s="9" t="inlineStr">
        <is>
          <t>Delhi</t>
        </is>
      </c>
      <c r="D80" s="9" t="inlineStr">
        <is>
          <t>DEL-2</t>
        </is>
      </c>
      <c r="E80" s="9" t="inlineStr">
        <is>
          <t>P-18107</t>
        </is>
      </c>
      <c r="F80" s="9" t="inlineStr">
        <is>
          <t>Waxing</t>
        </is>
      </c>
      <c r="G80" s="9" t="inlineStr">
        <is>
          <t>11–14</t>
        </is>
      </c>
      <c r="H80" s="9" t="inlineStr">
        <is>
          <t>Completed</t>
        </is>
      </c>
      <c r="I80" s="9" t="inlineStr">
        <is>
          <t>Y</t>
        </is>
      </c>
      <c r="J80" s="9" t="n">
        <v>5</v>
      </c>
      <c r="K80" s="9" t="inlineStr">
        <is>
          <t>N</t>
        </is>
      </c>
      <c r="L80" s="9" t="n"/>
      <c r="M80" s="116">
        <f>--(COUNTIF($A$2:A80,A80)=1)</f>
        <v>1</v>
      </c>
    </row>
    <row r="81">
      <c r="A81" s="9" t="inlineStr">
        <is>
          <t>YM2610206149</t>
        </is>
      </c>
      <c r="B81" s="114" t="n">
        <v>46308</v>
      </c>
      <c r="C81" s="9" t="inlineStr">
        <is>
          <t>Rest of India</t>
        </is>
      </c>
      <c r="D81" s="9" t="inlineStr">
        <is>
          <t>JAI-1</t>
        </is>
      </c>
      <c r="E81" s="9" t="inlineStr">
        <is>
          <t>P-25201</t>
        </is>
      </c>
      <c r="F81" s="9" t="inlineStr">
        <is>
          <t>Makeup</t>
        </is>
      </c>
      <c r="G81" s="9" t="inlineStr">
        <is>
          <t>8–11</t>
        </is>
      </c>
      <c r="H81" s="9" t="inlineStr">
        <is>
          <t>Completed</t>
        </is>
      </c>
      <c r="I81" s="9" t="inlineStr">
        <is>
          <t>Y</t>
        </is>
      </c>
      <c r="J81" s="9" t="n">
        <v>5</v>
      </c>
      <c r="K81" s="9" t="inlineStr">
        <is>
          <t>N</t>
        </is>
      </c>
      <c r="L81" s="9" t="n"/>
      <c r="M81" s="116">
        <f>--(COUNTIF($A$2:A81,A81)=1)</f>
        <v>1</v>
      </c>
    </row>
    <row r="82">
      <c r="A82" s="9" t="inlineStr">
        <is>
          <t>YM2610145847</t>
        </is>
      </c>
      <c r="B82" s="114" t="n">
        <v>46313</v>
      </c>
      <c r="C82" s="9" t="inlineStr">
        <is>
          <t>Rest of India</t>
        </is>
      </c>
      <c r="D82" s="9" t="inlineStr">
        <is>
          <t>LKO-1</t>
        </is>
      </c>
      <c r="E82" s="9" t="inlineStr">
        <is>
          <t>P-12461</t>
        </is>
      </c>
      <c r="F82" s="9" t="inlineStr">
        <is>
          <t>Facial &amp; clean-up</t>
        </is>
      </c>
      <c r="G82" s="9" t="inlineStr">
        <is>
          <t>20–22</t>
        </is>
      </c>
      <c r="H82" s="9" t="inlineStr">
        <is>
          <t>Completed</t>
        </is>
      </c>
      <c r="I82" s="9" t="inlineStr">
        <is>
          <t>Y</t>
        </is>
      </c>
      <c r="J82" s="9" t="n">
        <v>5</v>
      </c>
      <c r="K82" s="9" t="inlineStr">
        <is>
          <t>N</t>
        </is>
      </c>
      <c r="L82" s="9" t="n"/>
      <c r="M82" s="116">
        <f>--(COUNTIF($A$2:A82,A82)=1)</f>
        <v>1</v>
      </c>
    </row>
    <row r="83">
      <c r="A83" s="9" t="inlineStr">
        <is>
          <t>YM2610149527</t>
        </is>
      </c>
      <c r="B83" s="114" t="n">
        <v>46312</v>
      </c>
      <c r="C83" s="9" t="inlineStr">
        <is>
          <t>Gurugram</t>
        </is>
      </c>
      <c r="D83" s="9" t="inlineStr">
        <is>
          <t>GGN-1</t>
        </is>
      </c>
      <c r="E83" s="9" t="inlineStr">
        <is>
          <t>P-22081</t>
        </is>
      </c>
      <c r="F83" s="9" t="inlineStr">
        <is>
          <t>Facial &amp; clean-up</t>
        </is>
      </c>
      <c r="G83" s="9" t="inlineStr">
        <is>
          <t>20–22</t>
        </is>
      </c>
      <c r="H83" s="9" t="inlineStr">
        <is>
          <t>Completed</t>
        </is>
      </c>
      <c r="I83" s="9" t="inlineStr">
        <is>
          <t>Y</t>
        </is>
      </c>
      <c r="J83" s="9" t="n">
        <v>5</v>
      </c>
      <c r="K83" s="9" t="inlineStr">
        <is>
          <t>N</t>
        </is>
      </c>
      <c r="L83" s="9" t="n"/>
      <c r="M83" s="116">
        <f>--(COUNTIF($A$2:A83,A83)=1)</f>
        <v>1</v>
      </c>
    </row>
    <row r="84">
      <c r="A84" s="9" t="inlineStr">
        <is>
          <t>YM2610174607</t>
        </is>
      </c>
      <c r="B84" s="114" t="n">
        <v>46312</v>
      </c>
      <c r="C84" s="9" t="inlineStr">
        <is>
          <t>Delhi</t>
        </is>
      </c>
      <c r="D84" s="9" t="inlineStr">
        <is>
          <t>DEL-3</t>
        </is>
      </c>
      <c r="E84" s="9" t="inlineStr">
        <is>
          <t>P-22183</t>
        </is>
      </c>
      <c r="F84" s="9" t="inlineStr">
        <is>
          <t>Waxing</t>
        </is>
      </c>
      <c r="G84" s="9" t="inlineStr">
        <is>
          <t>20–22</t>
        </is>
      </c>
      <c r="H84" s="9" t="inlineStr">
        <is>
          <t>Completed</t>
        </is>
      </c>
      <c r="I84" s="9" t="inlineStr">
        <is>
          <t>Y</t>
        </is>
      </c>
      <c r="J84" s="9" t="n"/>
      <c r="K84" s="9" t="inlineStr">
        <is>
          <t>N</t>
        </is>
      </c>
      <c r="L84" s="9" t="n"/>
      <c r="M84" s="116">
        <f>--(COUNTIF($A$2:A84,A84)=1)</f>
        <v>1</v>
      </c>
    </row>
    <row r="85">
      <c r="A85" s="9" t="inlineStr">
        <is>
          <t>YM2610204778</t>
        </is>
      </c>
      <c r="B85" s="114" t="n">
        <v>46311</v>
      </c>
      <c r="C85" s="9" t="inlineStr">
        <is>
          <t>Pune</t>
        </is>
      </c>
      <c r="D85" s="9" t="inlineStr">
        <is>
          <t>PUN-1</t>
        </is>
      </c>
      <c r="E85" s="9" t="inlineStr">
        <is>
          <t>P-15363</t>
        </is>
      </c>
      <c r="F85" s="9" t="inlineStr">
        <is>
          <t>Facial &amp; clean-up</t>
        </is>
      </c>
      <c r="G85" s="9" t="inlineStr">
        <is>
          <t>8–11</t>
        </is>
      </c>
      <c r="H85" s="9" t="inlineStr">
        <is>
          <t>Completed</t>
        </is>
      </c>
      <c r="I85" s="9" t="inlineStr">
        <is>
          <t>Y</t>
        </is>
      </c>
      <c r="J85" s="9" t="n">
        <v>5</v>
      </c>
      <c r="K85" s="9" t="inlineStr">
        <is>
          <t>N</t>
        </is>
      </c>
      <c r="L85" s="9" t="n"/>
      <c r="M85" s="116">
        <f>--(COUNTIF($A$2:A85,A85)=1)</f>
        <v>1</v>
      </c>
    </row>
    <row r="86">
      <c r="A86" s="9" t="inlineStr">
        <is>
          <t>YM2610175274</t>
        </is>
      </c>
      <c r="B86" s="114" t="n">
        <v>46310</v>
      </c>
      <c r="C86" s="9" t="inlineStr">
        <is>
          <t>Hyderabad</t>
        </is>
      </c>
      <c r="D86" s="9" t="inlineStr">
        <is>
          <t>HYD-1</t>
        </is>
      </c>
      <c r="E86" s="9" t="inlineStr">
        <is>
          <t>P-10596</t>
        </is>
      </c>
      <c r="F86" s="9" t="inlineStr">
        <is>
          <t>Threading &amp; de-tan</t>
        </is>
      </c>
      <c r="G86" s="9" t="inlineStr">
        <is>
          <t>8–11</t>
        </is>
      </c>
      <c r="H86" s="9" t="inlineStr">
        <is>
          <t>Completed</t>
        </is>
      </c>
      <c r="I86" s="9" t="inlineStr">
        <is>
          <t>N</t>
        </is>
      </c>
      <c r="J86" s="9" t="n"/>
      <c r="K86" s="9" t="inlineStr">
        <is>
          <t>N</t>
        </is>
      </c>
      <c r="L86" s="9" t="n"/>
      <c r="M86" s="116">
        <f>--(COUNTIF($A$2:A86,A86)=1)</f>
        <v>1</v>
      </c>
    </row>
    <row r="87">
      <c r="A87" s="9" t="inlineStr">
        <is>
          <t>YM2610176542</t>
        </is>
      </c>
      <c r="B87" s="114" t="n">
        <v>46312</v>
      </c>
      <c r="C87" s="9" t="inlineStr">
        <is>
          <t>Gurugram</t>
        </is>
      </c>
      <c r="D87" s="9" t="inlineStr">
        <is>
          <t>GGN-1</t>
        </is>
      </c>
      <c r="E87" s="9" t="inlineStr">
        <is>
          <t>P-12965</t>
        </is>
      </c>
      <c r="F87" s="9" t="inlineStr">
        <is>
          <t>Facial &amp; clean-up</t>
        </is>
      </c>
      <c r="G87" s="9" t="inlineStr">
        <is>
          <t>11–14</t>
        </is>
      </c>
      <c r="H87" s="9" t="inlineStr">
        <is>
          <t>Completed</t>
        </is>
      </c>
      <c r="I87" s="9" t="inlineStr">
        <is>
          <t>Y</t>
        </is>
      </c>
      <c r="J87" s="9" t="n"/>
      <c r="K87" s="9" t="inlineStr">
        <is>
          <t>N</t>
        </is>
      </c>
      <c r="L87" s="9" t="n"/>
      <c r="M87" s="116">
        <f>--(COUNTIF($A$2:A87,A87)=1)</f>
        <v>1</v>
      </c>
    </row>
    <row r="88">
      <c r="A88" s="9" t="inlineStr">
        <is>
          <t>YM2610132669</t>
        </is>
      </c>
      <c r="B88" s="114" t="n">
        <v>46307</v>
      </c>
      <c r="C88" s="9" t="inlineStr">
        <is>
          <t>Delhi</t>
        </is>
      </c>
      <c r="D88" s="9" t="inlineStr">
        <is>
          <t>DEL-3</t>
        </is>
      </c>
      <c r="E88" s="9" t="inlineStr">
        <is>
          <t>P-22151</t>
        </is>
      </c>
      <c r="F88" s="9" t="inlineStr">
        <is>
          <t>Mani-pedi</t>
        </is>
      </c>
      <c r="G88" s="9" t="inlineStr">
        <is>
          <t>14–17</t>
        </is>
      </c>
      <c r="H88" s="9" t="inlineStr">
        <is>
          <t>Completed</t>
        </is>
      </c>
      <c r="I88" s="9" t="inlineStr">
        <is>
          <t>Y</t>
        </is>
      </c>
      <c r="J88" s="9" t="n"/>
      <c r="K88" s="9" t="inlineStr">
        <is>
          <t>N</t>
        </is>
      </c>
      <c r="L88" s="9" t="n"/>
      <c r="M88" s="116">
        <f>--(COUNTIF($A$2:A88,A88)=1)</f>
        <v>1</v>
      </c>
    </row>
    <row r="89">
      <c r="A89" s="9" t="inlineStr">
        <is>
          <t>YM2610146865</t>
        </is>
      </c>
      <c r="B89" s="114" t="n">
        <v>46308</v>
      </c>
      <c r="C89" s="9" t="inlineStr">
        <is>
          <t>Delhi</t>
        </is>
      </c>
      <c r="D89" s="9" t="inlineStr">
        <is>
          <t>DEL-2</t>
        </is>
      </c>
      <c r="E89" s="9" t="inlineStr">
        <is>
          <t>P-14150</t>
        </is>
      </c>
      <c r="F89" s="9" t="inlineStr">
        <is>
          <t>Threading &amp; de-tan</t>
        </is>
      </c>
      <c r="G89" s="9" t="inlineStr">
        <is>
          <t>8–11</t>
        </is>
      </c>
      <c r="H89" s="9" t="inlineStr">
        <is>
          <t>Completed</t>
        </is>
      </c>
      <c r="I89" s="9" t="inlineStr">
        <is>
          <t>Y</t>
        </is>
      </c>
      <c r="J89" s="9" t="n"/>
      <c r="K89" s="9" t="inlineStr">
        <is>
          <t>N</t>
        </is>
      </c>
      <c r="L89" s="9" t="n"/>
      <c r="M89" s="116">
        <f>--(COUNTIF($A$2:A89,A89)=1)</f>
        <v>1</v>
      </c>
    </row>
    <row r="90">
      <c r="A90" s="9" t="inlineStr">
        <is>
          <t>YM2610211205</t>
        </is>
      </c>
      <c r="B90" s="114" t="n">
        <v>46311</v>
      </c>
      <c r="C90" s="9" t="inlineStr">
        <is>
          <t>Noida &amp; Ghaziabad</t>
        </is>
      </c>
      <c r="D90" s="9" t="inlineStr">
        <is>
          <t>NOI-1</t>
        </is>
      </c>
      <c r="E90" s="9" t="inlineStr">
        <is>
          <t>P-17276</t>
        </is>
      </c>
      <c r="F90" s="9" t="inlineStr">
        <is>
          <t>Hair care</t>
        </is>
      </c>
      <c r="G90" s="9" t="inlineStr">
        <is>
          <t>14–17</t>
        </is>
      </c>
      <c r="H90" s="9" t="inlineStr">
        <is>
          <t>Completed</t>
        </is>
      </c>
      <c r="I90" s="9" t="inlineStr">
        <is>
          <t>Y</t>
        </is>
      </c>
      <c r="J90" s="9" t="n"/>
      <c r="K90" s="9" t="inlineStr">
        <is>
          <t>N</t>
        </is>
      </c>
      <c r="L90" s="9" t="inlineStr">
        <is>
          <t>Rescheduled</t>
        </is>
      </c>
      <c r="M90" s="116">
        <f>--(COUNTIF($A$2:A90,A90)=1)</f>
        <v>1</v>
      </c>
    </row>
    <row r="91">
      <c r="A91" s="9" t="inlineStr">
        <is>
          <t>YM2610141510</t>
        </is>
      </c>
      <c r="B91" s="114" t="n">
        <v>46311</v>
      </c>
      <c r="C91" s="9" t="inlineStr">
        <is>
          <t>Mumbai</t>
        </is>
      </c>
      <c r="D91" s="9" t="inlineStr">
        <is>
          <t>MUM-4</t>
        </is>
      </c>
      <c r="E91" s="9" t="n"/>
      <c r="F91" s="9" t="inlineStr">
        <is>
          <t>Facial &amp; clean-up</t>
        </is>
      </c>
      <c r="G91" s="9" t="inlineStr">
        <is>
          <t>8–11</t>
        </is>
      </c>
      <c r="H91" s="9" t="inlineStr">
        <is>
          <t>Unassigned</t>
        </is>
      </c>
      <c r="I91" s="9" t="n"/>
      <c r="J91" s="9" t="n"/>
      <c r="K91" s="9" t="n"/>
      <c r="L91" s="9" t="n"/>
      <c r="M91" s="116">
        <f>--(COUNTIF($A$2:A91,A91)=1)</f>
        <v>1</v>
      </c>
    </row>
    <row r="92">
      <c r="A92" s="9" t="inlineStr">
        <is>
          <t>YM2610209113</t>
        </is>
      </c>
      <c r="B92" s="114" t="n">
        <v>46313</v>
      </c>
      <c r="C92" s="9" t="inlineStr">
        <is>
          <t>Delhi</t>
        </is>
      </c>
      <c r="D92" s="9" t="inlineStr">
        <is>
          <t>DEL-1</t>
        </is>
      </c>
      <c r="E92" s="9" t="inlineStr">
        <is>
          <t>P-20623</t>
        </is>
      </c>
      <c r="F92" s="9" t="inlineStr">
        <is>
          <t>Waxing</t>
        </is>
      </c>
      <c r="G92" s="9" t="inlineStr">
        <is>
          <t>17–20</t>
        </is>
      </c>
      <c r="H92" s="9" t="inlineStr">
        <is>
          <t>Completed</t>
        </is>
      </c>
      <c r="I92" s="9" t="inlineStr">
        <is>
          <t>Y</t>
        </is>
      </c>
      <c r="J92" s="9" t="n"/>
      <c r="K92" s="9" t="inlineStr">
        <is>
          <t>N</t>
        </is>
      </c>
      <c r="L92" s="9" t="n"/>
      <c r="M92" s="116">
        <f>--(COUNTIF($A$2:A92,A92)=1)</f>
        <v>1</v>
      </c>
    </row>
    <row r="93">
      <c r="A93" s="9" t="inlineStr">
        <is>
          <t>YM2610179561</t>
        </is>
      </c>
      <c r="B93" s="114" t="n">
        <v>46309</v>
      </c>
      <c r="C93" s="9" t="inlineStr">
        <is>
          <t>Bengaluru</t>
        </is>
      </c>
      <c r="D93" s="9" t="inlineStr">
        <is>
          <t>BLR-3</t>
        </is>
      </c>
      <c r="E93" s="9" t="inlineStr">
        <is>
          <t>P-15857</t>
        </is>
      </c>
      <c r="F93" s="9" t="inlineStr">
        <is>
          <t>Waxing</t>
        </is>
      </c>
      <c r="G93" s="9" t="inlineStr">
        <is>
          <t>11–14</t>
        </is>
      </c>
      <c r="H93" s="9" t="inlineStr">
        <is>
          <t>Completed</t>
        </is>
      </c>
      <c r="I93" s="9" t="inlineStr">
        <is>
          <t>Y</t>
        </is>
      </c>
      <c r="J93" s="9" t="n">
        <v>5</v>
      </c>
      <c r="K93" s="9" t="inlineStr">
        <is>
          <t>N</t>
        </is>
      </c>
      <c r="L93" s="9" t="n"/>
      <c r="M93" s="116">
        <f>--(COUNTIF($A$2:A93,A93)=1)</f>
        <v>1</v>
      </c>
    </row>
    <row r="94">
      <c r="A94" s="9" t="inlineStr">
        <is>
          <t>YM2610135034</t>
        </is>
      </c>
      <c r="B94" s="114" t="n">
        <v>46312</v>
      </c>
      <c r="C94" s="9" t="inlineStr">
        <is>
          <t>Gurugram</t>
        </is>
      </c>
      <c r="D94" s="9" t="inlineStr">
        <is>
          <t>GGN-1</t>
        </is>
      </c>
      <c r="E94" s="9" t="inlineStr">
        <is>
          <t>P-14209</t>
        </is>
      </c>
      <c r="F94" s="9" t="inlineStr">
        <is>
          <t>Facial &amp; clean-up</t>
        </is>
      </c>
      <c r="G94" s="9" t="inlineStr">
        <is>
          <t>17–20</t>
        </is>
      </c>
      <c r="H94" s="9" t="inlineStr">
        <is>
          <t>Completed</t>
        </is>
      </c>
      <c r="I94" s="9" t="inlineStr">
        <is>
          <t>Y</t>
        </is>
      </c>
      <c r="J94" s="9" t="n">
        <v>5</v>
      </c>
      <c r="K94" s="9" t="inlineStr">
        <is>
          <t>N</t>
        </is>
      </c>
      <c r="L94" s="9" t="n"/>
      <c r="M94" s="116">
        <f>--(COUNTIF($A$2:A94,A94)=1)</f>
        <v>1</v>
      </c>
    </row>
    <row r="95">
      <c r="A95" s="9" t="inlineStr">
        <is>
          <t>YM2610162120</t>
        </is>
      </c>
      <c r="B95" s="114" t="n">
        <v>46312</v>
      </c>
      <c r="C95" s="9" t="inlineStr">
        <is>
          <t>Mumbai</t>
        </is>
      </c>
      <c r="D95" s="9" t="inlineStr">
        <is>
          <t>MUM-5</t>
        </is>
      </c>
      <c r="E95" s="9" t="inlineStr">
        <is>
          <t>P-26760</t>
        </is>
      </c>
      <c r="F95" s="9" t="inlineStr">
        <is>
          <t>Waxing</t>
        </is>
      </c>
      <c r="G95" s="9" t="inlineStr">
        <is>
          <t>8–11</t>
        </is>
      </c>
      <c r="H95" s="9" t="inlineStr">
        <is>
          <t>Completed</t>
        </is>
      </c>
      <c r="I95" s="9" t="inlineStr">
        <is>
          <t>Y</t>
        </is>
      </c>
      <c r="J95" s="9" t="n"/>
      <c r="K95" s="9" t="inlineStr">
        <is>
          <t>N</t>
        </is>
      </c>
      <c r="L95" s="9" t="n"/>
      <c r="M95" s="116">
        <f>--(COUNTIF($A$2:A95,A95)=1)</f>
        <v>1</v>
      </c>
    </row>
    <row r="96">
      <c r="A96" s="9" t="inlineStr">
        <is>
          <t>YM2610135363</t>
        </is>
      </c>
      <c r="B96" s="114" t="n">
        <v>46312</v>
      </c>
      <c r="C96" s="9" t="inlineStr">
        <is>
          <t>Bengaluru</t>
        </is>
      </c>
      <c r="D96" s="9" t="inlineStr">
        <is>
          <t>BLR-1</t>
        </is>
      </c>
      <c r="E96" s="9" t="inlineStr">
        <is>
          <t>P-14312</t>
        </is>
      </c>
      <c r="F96" s="9" t="inlineStr">
        <is>
          <t>Makeup</t>
        </is>
      </c>
      <c r="G96" s="9" t="inlineStr">
        <is>
          <t>8–11</t>
        </is>
      </c>
      <c r="H96" s="9" t="inlineStr">
        <is>
          <t>Completed</t>
        </is>
      </c>
      <c r="I96" s="9" t="inlineStr">
        <is>
          <t>Y</t>
        </is>
      </c>
      <c r="J96" s="9" t="n">
        <v>5</v>
      </c>
      <c r="K96" s="9" t="inlineStr">
        <is>
          <t>N</t>
        </is>
      </c>
      <c r="L96" s="9" t="n"/>
      <c r="M96" s="116">
        <f>--(COUNTIF($A$2:A96,A96)=1)</f>
        <v>1</v>
      </c>
    </row>
    <row r="97">
      <c r="A97" s="9" t="inlineStr">
        <is>
          <t>YM2610129587</t>
        </is>
      </c>
      <c r="B97" s="114" t="n">
        <v>46308</v>
      </c>
      <c r="C97" s="9" t="inlineStr">
        <is>
          <t>Rest of India</t>
        </is>
      </c>
      <c r="D97" s="9" t="inlineStr">
        <is>
          <t>CHD-1</t>
        </is>
      </c>
      <c r="E97" s="9" t="n"/>
      <c r="F97" s="9" t="inlineStr">
        <is>
          <t>Hair care</t>
        </is>
      </c>
      <c r="G97" s="9" t="inlineStr">
        <is>
          <t>17–20</t>
        </is>
      </c>
      <c r="H97" s="9" t="inlineStr">
        <is>
          <t>Unassigned</t>
        </is>
      </c>
      <c r="I97" s="9" t="n"/>
      <c r="J97" s="9" t="n"/>
      <c r="K97" s="9" t="n"/>
      <c r="L97" s="9" t="n"/>
      <c r="M97" s="116">
        <f>--(COUNTIF($A$2:A97,A97)=1)</f>
        <v>1</v>
      </c>
    </row>
    <row r="98">
      <c r="A98" s="9" t="inlineStr">
        <is>
          <t>YM2610180821</t>
        </is>
      </c>
      <c r="B98" s="114" t="n">
        <v>46309</v>
      </c>
      <c r="C98" s="9" t="inlineStr">
        <is>
          <t>Gurugram</t>
        </is>
      </c>
      <c r="D98" s="9" t="inlineStr">
        <is>
          <t>GGN-1</t>
        </is>
      </c>
      <c r="E98" s="9" t="n"/>
      <c r="F98" s="9" t="inlineStr">
        <is>
          <t>Facial &amp; clean-up</t>
        </is>
      </c>
      <c r="G98" s="9" t="inlineStr">
        <is>
          <t>14–17</t>
        </is>
      </c>
      <c r="H98" s="9" t="inlineStr">
        <is>
          <t>Unassigned</t>
        </is>
      </c>
      <c r="I98" s="9" t="n"/>
      <c r="J98" s="9" t="n"/>
      <c r="K98" s="9" t="n"/>
      <c r="L98" s="9" t="n"/>
      <c r="M98" s="116">
        <f>--(COUNTIF($A$2:A98,A98)=1)</f>
        <v>1</v>
      </c>
    </row>
    <row r="99">
      <c r="A99" s="9" t="inlineStr">
        <is>
          <t>YM2610147075</t>
        </is>
      </c>
      <c r="B99" s="114" t="n">
        <v>46311</v>
      </c>
      <c r="C99" s="9" t="inlineStr">
        <is>
          <t>Rest of India</t>
        </is>
      </c>
      <c r="D99" s="9" t="inlineStr">
        <is>
          <t>LKO-1</t>
        </is>
      </c>
      <c r="E99" s="9" t="inlineStr">
        <is>
          <t>P-23220</t>
        </is>
      </c>
      <c r="F99" s="9" t="inlineStr">
        <is>
          <t>Waxing</t>
        </is>
      </c>
      <c r="G99" s="9" t="inlineStr">
        <is>
          <t>14–17</t>
        </is>
      </c>
      <c r="H99" s="9" t="inlineStr">
        <is>
          <t>Completed</t>
        </is>
      </c>
      <c r="I99" s="9" t="inlineStr">
        <is>
          <t>N</t>
        </is>
      </c>
      <c r="J99" s="9" t="n">
        <v>5</v>
      </c>
      <c r="K99" s="9" t="inlineStr">
        <is>
          <t>N</t>
        </is>
      </c>
      <c r="L99" s="9" t="n"/>
      <c r="M99" s="116">
        <f>--(COUNTIF($A$2:A99,A99)=1)</f>
        <v>1</v>
      </c>
    </row>
    <row r="100">
      <c r="A100" s="9" t="inlineStr">
        <is>
          <t>YM2610168156</t>
        </is>
      </c>
      <c r="B100" s="114" t="n">
        <v>46308</v>
      </c>
      <c r="C100" s="9" t="inlineStr">
        <is>
          <t>Rest of India</t>
        </is>
      </c>
      <c r="D100" s="9" t="inlineStr">
        <is>
          <t>AHM-2</t>
        </is>
      </c>
      <c r="E100" s="9" t="inlineStr">
        <is>
          <t>P-28192</t>
        </is>
      </c>
      <c r="F100" s="9" t="inlineStr">
        <is>
          <t>Massage &amp; body</t>
        </is>
      </c>
      <c r="G100" s="9" t="inlineStr">
        <is>
          <t>17–20</t>
        </is>
      </c>
      <c r="H100" s="9" t="inlineStr">
        <is>
          <t>Completed</t>
        </is>
      </c>
      <c r="I100" s="9" t="inlineStr">
        <is>
          <t>Y</t>
        </is>
      </c>
      <c r="J100" s="9" t="n">
        <v>5</v>
      </c>
      <c r="K100" s="9" t="inlineStr">
        <is>
          <t>N</t>
        </is>
      </c>
      <c r="L100" s="9" t="n"/>
      <c r="M100" s="116">
        <f>--(COUNTIF($A$2:A100,A100)=1)</f>
        <v>1</v>
      </c>
    </row>
    <row r="101">
      <c r="A101" s="9" t="inlineStr">
        <is>
          <t>YM2610169358</t>
        </is>
      </c>
      <c r="B101" s="114" t="n">
        <v>46311</v>
      </c>
      <c r="C101" s="9" t="inlineStr">
        <is>
          <t>Gurugram</t>
        </is>
      </c>
      <c r="D101" s="9" t="inlineStr">
        <is>
          <t>GGN-4</t>
        </is>
      </c>
      <c r="E101" s="9" t="inlineStr">
        <is>
          <t>P-14790</t>
        </is>
      </c>
      <c r="F101" s="9" t="inlineStr">
        <is>
          <t>Facial &amp; clean-up</t>
        </is>
      </c>
      <c r="G101" s="9" t="inlineStr">
        <is>
          <t>17–20</t>
        </is>
      </c>
      <c r="H101" s="9" t="inlineStr">
        <is>
          <t>Completed</t>
        </is>
      </c>
      <c r="I101" s="9" t="inlineStr">
        <is>
          <t>Y</t>
        </is>
      </c>
      <c r="J101" s="9" t="n">
        <v>5</v>
      </c>
      <c r="K101" s="9" t="inlineStr">
        <is>
          <t>N</t>
        </is>
      </c>
      <c r="L101" s="9" t="n"/>
      <c r="M101" s="116">
        <f>--(COUNTIF($A$2:A101,A101)=1)</f>
        <v>1</v>
      </c>
    </row>
    <row r="102">
      <c r="A102" s="9" t="inlineStr">
        <is>
          <t>YM2610197791</t>
        </is>
      </c>
      <c r="B102" s="114" t="n">
        <v>46312</v>
      </c>
      <c r="C102" s="9" t="inlineStr">
        <is>
          <t>Gurugram</t>
        </is>
      </c>
      <c r="D102" s="9" t="inlineStr">
        <is>
          <t>GGN-4</t>
        </is>
      </c>
      <c r="E102" s="9" t="inlineStr">
        <is>
          <t>P-20244</t>
        </is>
      </c>
      <c r="F102" s="9" t="inlineStr">
        <is>
          <t>Mani-pedi</t>
        </is>
      </c>
      <c r="G102" s="9" t="inlineStr">
        <is>
          <t>8–11</t>
        </is>
      </c>
      <c r="H102" s="9" t="inlineStr">
        <is>
          <t>Completed</t>
        </is>
      </c>
      <c r="I102" s="9" t="inlineStr">
        <is>
          <t>Y</t>
        </is>
      </c>
      <c r="J102" s="9" t="n">
        <v>5</v>
      </c>
      <c r="K102" s="9" t="inlineStr">
        <is>
          <t>N</t>
        </is>
      </c>
      <c r="L102" s="9" t="n"/>
      <c r="M102" s="116">
        <f>--(COUNTIF($A$2:A102,A102)=1)</f>
        <v>1</v>
      </c>
    </row>
    <row r="103">
      <c r="A103" s="9" t="inlineStr">
        <is>
          <t>YM2610201284</t>
        </is>
      </c>
      <c r="B103" s="114" t="n">
        <v>46312</v>
      </c>
      <c r="C103" s="9" t="inlineStr">
        <is>
          <t>Noida &amp; Ghaziabad</t>
        </is>
      </c>
      <c r="D103" s="9" t="inlineStr">
        <is>
          <t>GZB-1</t>
        </is>
      </c>
      <c r="E103" s="9" t="inlineStr">
        <is>
          <t>P-11493</t>
        </is>
      </c>
      <c r="F103" s="9" t="inlineStr">
        <is>
          <t>Waxing</t>
        </is>
      </c>
      <c r="G103" s="9" t="inlineStr">
        <is>
          <t>11–14</t>
        </is>
      </c>
      <c r="H103" s="9" t="inlineStr">
        <is>
          <t>Completed</t>
        </is>
      </c>
      <c r="I103" s="9" t="inlineStr">
        <is>
          <t>Y</t>
        </is>
      </c>
      <c r="J103" s="9" t="n">
        <v>5</v>
      </c>
      <c r="K103" s="9" t="inlineStr">
        <is>
          <t>N</t>
        </is>
      </c>
      <c r="L103" s="9" t="n"/>
      <c r="M103" s="116">
        <f>--(COUNTIF($A$2:A103,A103)=1)</f>
        <v>1</v>
      </c>
    </row>
    <row r="104">
      <c r="A104" s="9" t="inlineStr">
        <is>
          <t>YM2610202779</t>
        </is>
      </c>
      <c r="B104" s="114" t="n">
        <v>46310</v>
      </c>
      <c r="C104" s="9" t="inlineStr">
        <is>
          <t>Delhi</t>
        </is>
      </c>
      <c r="D104" s="9" t="inlineStr">
        <is>
          <t>DEL-2</t>
        </is>
      </c>
      <c r="E104" s="9" t="inlineStr">
        <is>
          <t>P-15197</t>
        </is>
      </c>
      <c r="F104" s="9" t="inlineStr">
        <is>
          <t>Waxing</t>
        </is>
      </c>
      <c r="G104" s="9" t="inlineStr">
        <is>
          <t>11–14</t>
        </is>
      </c>
      <c r="H104" s="9" t="inlineStr">
        <is>
          <t>Completed</t>
        </is>
      </c>
      <c r="I104" s="9" t="inlineStr">
        <is>
          <t>N</t>
        </is>
      </c>
      <c r="J104" s="9" t="n">
        <v>5</v>
      </c>
      <c r="K104" s="9" t="inlineStr">
        <is>
          <t>N</t>
        </is>
      </c>
      <c r="L104" s="9" t="n"/>
      <c r="M104" s="116">
        <f>--(COUNTIF($A$2:A104,A104)=1)</f>
        <v>1</v>
      </c>
    </row>
    <row r="105">
      <c r="A105" s="9" t="inlineStr">
        <is>
          <t>YM2610173684</t>
        </is>
      </c>
      <c r="B105" s="114" t="n">
        <v>46307</v>
      </c>
      <c r="C105" s="9" t="inlineStr">
        <is>
          <t>Delhi</t>
        </is>
      </c>
      <c r="D105" s="9" t="inlineStr">
        <is>
          <t>DEL-2</t>
        </is>
      </c>
      <c r="E105" s="9" t="inlineStr">
        <is>
          <t>P-10376</t>
        </is>
      </c>
      <c r="F105" s="9" t="inlineStr">
        <is>
          <t>Waxing</t>
        </is>
      </c>
      <c r="G105" s="9" t="inlineStr">
        <is>
          <t>14–17</t>
        </is>
      </c>
      <c r="H105" s="9" t="inlineStr">
        <is>
          <t>Completed</t>
        </is>
      </c>
      <c r="I105" s="9" t="inlineStr">
        <is>
          <t>Y</t>
        </is>
      </c>
      <c r="J105" s="9" t="n"/>
      <c r="K105" s="9" t="inlineStr">
        <is>
          <t>N</t>
        </is>
      </c>
      <c r="L105" s="9" t="n"/>
      <c r="M105" s="116">
        <f>--(COUNTIF($A$2:A105,A105)=1)</f>
        <v>1</v>
      </c>
    </row>
    <row r="106">
      <c r="A106" s="9" t="inlineStr">
        <is>
          <t>YM2610121052</t>
        </is>
      </c>
      <c r="B106" s="114" t="n">
        <v>46311</v>
      </c>
      <c r="C106" s="9" t="inlineStr">
        <is>
          <t>Bengaluru</t>
        </is>
      </c>
      <c r="D106" s="9" t="inlineStr">
        <is>
          <t>BLR-1</t>
        </is>
      </c>
      <c r="E106" s="9" t="inlineStr">
        <is>
          <t>P-12016</t>
        </is>
      </c>
      <c r="F106" s="9" t="inlineStr">
        <is>
          <t>Hair care</t>
        </is>
      </c>
      <c r="G106" s="9" t="inlineStr">
        <is>
          <t>14–17</t>
        </is>
      </c>
      <c r="H106" s="9" t="inlineStr">
        <is>
          <t>Completed</t>
        </is>
      </c>
      <c r="I106" s="9" t="inlineStr">
        <is>
          <t>Y</t>
        </is>
      </c>
      <c r="J106" s="9" t="n">
        <v>5</v>
      </c>
      <c r="K106" s="9" t="inlineStr">
        <is>
          <t>N</t>
        </is>
      </c>
      <c r="L106" s="9" t="n"/>
      <c r="M106" s="116">
        <f>--(COUNTIF($A$2:A106,A106)=1)</f>
        <v>1</v>
      </c>
    </row>
    <row r="107">
      <c r="A107" s="9" t="inlineStr">
        <is>
          <t>YM2610139647</t>
        </is>
      </c>
      <c r="B107" s="114" t="n">
        <v>46312</v>
      </c>
      <c r="C107" s="9" t="inlineStr">
        <is>
          <t>Delhi</t>
        </is>
      </c>
      <c r="D107" s="9" t="inlineStr">
        <is>
          <t>DEL-2</t>
        </is>
      </c>
      <c r="E107" s="9" t="inlineStr">
        <is>
          <t>P-16537</t>
        </is>
      </c>
      <c r="F107" s="9" t="inlineStr">
        <is>
          <t>Massage &amp; body</t>
        </is>
      </c>
      <c r="G107" s="9" t="inlineStr">
        <is>
          <t>8–11</t>
        </is>
      </c>
      <c r="H107" s="9" t="inlineStr">
        <is>
          <t>Completed</t>
        </is>
      </c>
      <c r="I107" s="9" t="inlineStr">
        <is>
          <t>Y</t>
        </is>
      </c>
      <c r="J107" s="9" t="n"/>
      <c r="K107" s="9" t="inlineStr">
        <is>
          <t>N</t>
        </is>
      </c>
      <c r="L107" s="9" t="n"/>
      <c r="M107" s="116">
        <f>--(COUNTIF($A$2:A107,A107)=1)</f>
        <v>1</v>
      </c>
    </row>
    <row r="108">
      <c r="A108" s="9" t="inlineStr">
        <is>
          <t>YM2610215936</t>
        </is>
      </c>
      <c r="B108" s="114" t="n">
        <v>46312</v>
      </c>
      <c r="C108" s="9" t="inlineStr">
        <is>
          <t>Mumbai</t>
        </is>
      </c>
      <c r="D108" s="9" t="inlineStr">
        <is>
          <t>MUM-4</t>
        </is>
      </c>
      <c r="E108" s="9" t="inlineStr">
        <is>
          <t>P-27642</t>
        </is>
      </c>
      <c r="F108" s="9" t="inlineStr">
        <is>
          <t>Waxing</t>
        </is>
      </c>
      <c r="G108" s="9" t="inlineStr">
        <is>
          <t>14–17</t>
        </is>
      </c>
      <c r="H108" s="9" t="inlineStr">
        <is>
          <t>Completed</t>
        </is>
      </c>
      <c r="I108" s="9" t="inlineStr">
        <is>
          <t>Y</t>
        </is>
      </c>
      <c r="J108" s="9" t="n"/>
      <c r="K108" s="9" t="inlineStr">
        <is>
          <t>N</t>
        </is>
      </c>
      <c r="L108" s="9" t="n"/>
      <c r="M108" s="116">
        <f>--(COUNTIF($A$2:A108,A108)=1)</f>
        <v>1</v>
      </c>
    </row>
    <row r="109">
      <c r="A109" s="9" t="inlineStr">
        <is>
          <t>YM2610126087</t>
        </is>
      </c>
      <c r="B109" s="114" t="n">
        <v>46312</v>
      </c>
      <c r="C109" s="9" t="inlineStr">
        <is>
          <t>Mumbai</t>
        </is>
      </c>
      <c r="D109" s="9" t="inlineStr">
        <is>
          <t>MUM-2</t>
        </is>
      </c>
      <c r="E109" s="9" t="inlineStr">
        <is>
          <t>P-20994</t>
        </is>
      </c>
      <c r="F109" s="9" t="inlineStr">
        <is>
          <t>Laser &amp; Hydra</t>
        </is>
      </c>
      <c r="G109" s="9" t="inlineStr">
        <is>
          <t>14–17</t>
        </is>
      </c>
      <c r="H109" s="9" t="inlineStr">
        <is>
          <t>Completed</t>
        </is>
      </c>
      <c r="I109" s="9" t="inlineStr">
        <is>
          <t>N</t>
        </is>
      </c>
      <c r="J109" s="9" t="n">
        <v>5</v>
      </c>
      <c r="K109" s="9" t="inlineStr">
        <is>
          <t>N</t>
        </is>
      </c>
      <c r="L109" s="9" t="n"/>
      <c r="M109" s="116">
        <f>--(COUNTIF($A$2:A109,A109)=1)</f>
        <v>1</v>
      </c>
    </row>
    <row r="110">
      <c r="A110" s="9" t="inlineStr">
        <is>
          <t>YM2610189582</t>
        </is>
      </c>
      <c r="B110" s="114" t="n">
        <v>46307</v>
      </c>
      <c r="C110" s="9" t="inlineStr">
        <is>
          <t>Gurugram</t>
        </is>
      </c>
      <c r="D110" s="9" t="inlineStr">
        <is>
          <t>GGN-2</t>
        </is>
      </c>
      <c r="E110" s="9" t="inlineStr">
        <is>
          <t>P-19686</t>
        </is>
      </c>
      <c r="F110" s="9" t="inlineStr">
        <is>
          <t>Hair care</t>
        </is>
      </c>
      <c r="G110" s="9" t="inlineStr">
        <is>
          <t>14–17</t>
        </is>
      </c>
      <c r="H110" s="9" t="inlineStr">
        <is>
          <t>Completed</t>
        </is>
      </c>
      <c r="I110" s="9" t="inlineStr">
        <is>
          <t>N</t>
        </is>
      </c>
      <c r="J110" s="9" t="n"/>
      <c r="K110" s="9" t="inlineStr">
        <is>
          <t>N</t>
        </is>
      </c>
      <c r="L110" s="9" t="n"/>
      <c r="M110" s="116">
        <f>--(COUNTIF($A$2:A110,A110)=1)</f>
        <v>1</v>
      </c>
    </row>
    <row r="111">
      <c r="A111" s="9" t="inlineStr">
        <is>
          <t>YM2610141864</t>
        </is>
      </c>
      <c r="B111" s="114" t="n">
        <v>46307</v>
      </c>
      <c r="C111" s="9" t="inlineStr">
        <is>
          <t>Rest of India</t>
        </is>
      </c>
      <c r="D111" s="9" t="inlineStr">
        <is>
          <t>CHD-1</t>
        </is>
      </c>
      <c r="E111" s="9" t="inlineStr">
        <is>
          <t>P-16289</t>
        </is>
      </c>
      <c r="F111" s="9" t="inlineStr">
        <is>
          <t>Threading &amp; de-tan</t>
        </is>
      </c>
      <c r="G111" s="9" t="inlineStr">
        <is>
          <t>11–14</t>
        </is>
      </c>
      <c r="H111" s="9" t="inlineStr">
        <is>
          <t>Completed</t>
        </is>
      </c>
      <c r="I111" s="9" t="inlineStr">
        <is>
          <t>Y</t>
        </is>
      </c>
      <c r="J111" s="9" t="n"/>
      <c r="K111" s="9" t="inlineStr">
        <is>
          <t>N</t>
        </is>
      </c>
      <c r="L111" s="9" t="n"/>
      <c r="M111" s="116">
        <f>--(COUNTIF($A$2:A111,A111)=1)</f>
        <v>1</v>
      </c>
    </row>
    <row r="112">
      <c r="A112" s="9" t="inlineStr">
        <is>
          <t>YM2610182537</t>
        </is>
      </c>
      <c r="B112" s="114" t="n">
        <v>46312</v>
      </c>
      <c r="C112" s="9" t="inlineStr">
        <is>
          <t>Rest of India</t>
        </is>
      </c>
      <c r="D112" s="9" t="inlineStr">
        <is>
          <t>AHM-2</t>
        </is>
      </c>
      <c r="E112" s="9" t="inlineStr">
        <is>
          <t>P-27387</t>
        </is>
      </c>
      <c r="F112" s="9" t="inlineStr">
        <is>
          <t>Mani-pedi</t>
        </is>
      </c>
      <c r="G112" s="9" t="inlineStr">
        <is>
          <t>17–20</t>
        </is>
      </c>
      <c r="H112" s="9" t="inlineStr">
        <is>
          <t>Completed</t>
        </is>
      </c>
      <c r="I112" s="9" t="inlineStr">
        <is>
          <t>Y</t>
        </is>
      </c>
      <c r="J112" s="9" t="n"/>
      <c r="K112" s="9" t="inlineStr">
        <is>
          <t>N</t>
        </is>
      </c>
      <c r="L112" s="9" t="n"/>
      <c r="M112" s="116">
        <f>--(COUNTIF($A$2:A112,A112)=1)</f>
        <v>1</v>
      </c>
    </row>
    <row r="113">
      <c r="A113" s="9" t="inlineStr">
        <is>
          <t>YM2610131197</t>
        </is>
      </c>
      <c r="B113" s="114" t="n">
        <v>46311</v>
      </c>
      <c r="C113" s="9" t="inlineStr">
        <is>
          <t>Hyderabad</t>
        </is>
      </c>
      <c r="D113" s="9" t="inlineStr">
        <is>
          <t>HYD-2</t>
        </is>
      </c>
      <c r="E113" s="9" t="inlineStr">
        <is>
          <t>P-14738</t>
        </is>
      </c>
      <c r="F113" s="9" t="inlineStr">
        <is>
          <t>Waxing</t>
        </is>
      </c>
      <c r="G113" s="9" t="inlineStr">
        <is>
          <t>11–14</t>
        </is>
      </c>
      <c r="H113" s="9" t="inlineStr">
        <is>
          <t>Completed</t>
        </is>
      </c>
      <c r="I113" s="9" t="inlineStr">
        <is>
          <t>Y</t>
        </is>
      </c>
      <c r="J113" s="9" t="n"/>
      <c r="K113" s="9" t="inlineStr">
        <is>
          <t>N</t>
        </is>
      </c>
      <c r="L113" s="9" t="n"/>
      <c r="M113" s="116">
        <f>--(COUNTIF($A$2:A113,A113)=1)</f>
        <v>1</v>
      </c>
    </row>
    <row r="114">
      <c r="A114" s="9" t="inlineStr">
        <is>
          <t>YM2610126589</t>
        </is>
      </c>
      <c r="B114" s="114" t="n">
        <v>46313</v>
      </c>
      <c r="C114" s="9" t="inlineStr">
        <is>
          <t>Delhi</t>
        </is>
      </c>
      <c r="D114" s="9" t="inlineStr">
        <is>
          <t>DEL-3</t>
        </is>
      </c>
      <c r="E114" s="9" t="inlineStr">
        <is>
          <t>P-12222</t>
        </is>
      </c>
      <c r="F114" s="9" t="inlineStr">
        <is>
          <t>Mani-pedi</t>
        </is>
      </c>
      <c r="G114" s="9" t="inlineStr">
        <is>
          <t>17–20</t>
        </is>
      </c>
      <c r="H114" s="9" t="inlineStr">
        <is>
          <t>Completed</t>
        </is>
      </c>
      <c r="I114" s="9" t="inlineStr">
        <is>
          <t>Y</t>
        </is>
      </c>
      <c r="J114" s="9" t="n">
        <v>5</v>
      </c>
      <c r="K114" s="9" t="inlineStr">
        <is>
          <t>N</t>
        </is>
      </c>
      <c r="L114" s="9" t="n"/>
      <c r="M114" s="116">
        <f>--(COUNTIF($A$2:A114,A114)=1)</f>
        <v>1</v>
      </c>
    </row>
    <row r="115">
      <c r="A115" s="9" t="inlineStr">
        <is>
          <t>YM2610129643</t>
        </is>
      </c>
      <c r="B115" s="114" t="n">
        <v>46313</v>
      </c>
      <c r="C115" s="9" t="inlineStr">
        <is>
          <t>Noida &amp; Ghaziabad</t>
        </is>
      </c>
      <c r="D115" s="9" t="inlineStr">
        <is>
          <t>GZB-1</t>
        </is>
      </c>
      <c r="E115" s="9" t="n"/>
      <c r="F115" s="9" t="inlineStr">
        <is>
          <t>Laser &amp; Hydra</t>
        </is>
      </c>
      <c r="G115" s="9" t="inlineStr">
        <is>
          <t>17–20</t>
        </is>
      </c>
      <c r="H115" s="9" t="inlineStr">
        <is>
          <t>Unassigned</t>
        </is>
      </c>
      <c r="I115" s="9" t="n"/>
      <c r="J115" s="9" t="n"/>
      <c r="K115" s="9" t="n"/>
      <c r="L115" s="9" t="n"/>
      <c r="M115" s="116">
        <f>--(COUNTIF($A$2:A115,A115)=1)</f>
        <v>1</v>
      </c>
    </row>
    <row r="116">
      <c r="A116" s="9" t="inlineStr">
        <is>
          <t>YM2610219796</t>
        </is>
      </c>
      <c r="B116" s="114" t="n">
        <v>46308</v>
      </c>
      <c r="C116" s="9" t="inlineStr">
        <is>
          <t>Delhi</t>
        </is>
      </c>
      <c r="D116" s="9" t="inlineStr">
        <is>
          <t>DEL-3</t>
        </is>
      </c>
      <c r="E116" s="9" t="inlineStr">
        <is>
          <t>P-12866</t>
        </is>
      </c>
      <c r="F116" s="9" t="inlineStr">
        <is>
          <t>Threading &amp; de-tan</t>
        </is>
      </c>
      <c r="G116" s="9" t="inlineStr">
        <is>
          <t>8–11</t>
        </is>
      </c>
      <c r="H116" s="9" t="inlineStr">
        <is>
          <t>Completed</t>
        </is>
      </c>
      <c r="I116" s="9" t="inlineStr">
        <is>
          <t>Y</t>
        </is>
      </c>
      <c r="J116" s="9" t="n"/>
      <c r="K116" s="9" t="inlineStr">
        <is>
          <t>N</t>
        </is>
      </c>
      <c r="L116" s="9" t="n"/>
      <c r="M116" s="116">
        <f>--(COUNTIF($A$2:A116,A116)=1)</f>
        <v>1</v>
      </c>
    </row>
    <row r="117">
      <c r="A117" s="9" t="inlineStr">
        <is>
          <t>YM2610123741</t>
        </is>
      </c>
      <c r="B117" s="114" t="n">
        <v>46307</v>
      </c>
      <c r="C117" s="9" t="inlineStr">
        <is>
          <t>Delhi</t>
        </is>
      </c>
      <c r="D117" s="9" t="inlineStr">
        <is>
          <t>DEL-2</t>
        </is>
      </c>
      <c r="E117" s="9" t="inlineStr">
        <is>
          <t>P-18411</t>
        </is>
      </c>
      <c r="F117" s="9" t="inlineStr">
        <is>
          <t>Laser &amp; Hydra</t>
        </is>
      </c>
      <c r="G117" s="9" t="inlineStr">
        <is>
          <t>17–20</t>
        </is>
      </c>
      <c r="H117" s="9" t="inlineStr">
        <is>
          <t>Completed</t>
        </is>
      </c>
      <c r="I117" s="9" t="inlineStr">
        <is>
          <t>Y</t>
        </is>
      </c>
      <c r="J117" s="9" t="n">
        <v>5</v>
      </c>
      <c r="K117" s="9" t="inlineStr">
        <is>
          <t>N</t>
        </is>
      </c>
      <c r="L117" s="9" t="n"/>
      <c r="M117" s="116">
        <f>--(COUNTIF($A$2:A117,A117)=1)</f>
        <v>1</v>
      </c>
    </row>
    <row r="118">
      <c r="A118" s="9" t="inlineStr">
        <is>
          <t>YM2610175122</t>
        </is>
      </c>
      <c r="B118" s="114" t="n">
        <v>46312</v>
      </c>
      <c r="C118" s="9" t="inlineStr">
        <is>
          <t>Rest of India</t>
        </is>
      </c>
      <c r="D118" s="9" t="inlineStr">
        <is>
          <t>JAI-1</t>
        </is>
      </c>
      <c r="E118" s="9" t="inlineStr">
        <is>
          <t>P-24301</t>
        </is>
      </c>
      <c r="F118" s="9" t="inlineStr">
        <is>
          <t>Massage &amp; body</t>
        </is>
      </c>
      <c r="G118" s="9" t="inlineStr">
        <is>
          <t>14–17</t>
        </is>
      </c>
      <c r="H118" s="9" t="inlineStr">
        <is>
          <t>Completed</t>
        </is>
      </c>
      <c r="I118" s="9" t="inlineStr">
        <is>
          <t>Y</t>
        </is>
      </c>
      <c r="J118" s="9" t="n">
        <v>5</v>
      </c>
      <c r="K118" s="9" t="inlineStr">
        <is>
          <t>N</t>
        </is>
      </c>
      <c r="L118" s="9" t="n"/>
      <c r="M118" s="116">
        <f>--(COUNTIF($A$2:A118,A118)=1)</f>
        <v>1</v>
      </c>
    </row>
    <row r="119">
      <c r="A119" s="9" t="inlineStr">
        <is>
          <t>YM2610178154</t>
        </is>
      </c>
      <c r="B119" s="114" t="n">
        <v>46311</v>
      </c>
      <c r="C119" s="9" t="inlineStr">
        <is>
          <t>Delhi</t>
        </is>
      </c>
      <c r="D119" s="9" t="inlineStr">
        <is>
          <t>DEL-1</t>
        </is>
      </c>
      <c r="E119" s="9" t="inlineStr">
        <is>
          <t>P-27155</t>
        </is>
      </c>
      <c r="F119" s="9" t="inlineStr">
        <is>
          <t>Waxing</t>
        </is>
      </c>
      <c r="G119" s="9" t="inlineStr">
        <is>
          <t>17–20</t>
        </is>
      </c>
      <c r="H119" s="9" t="inlineStr">
        <is>
          <t>Completed</t>
        </is>
      </c>
      <c r="I119" s="9" t="inlineStr">
        <is>
          <t>Y</t>
        </is>
      </c>
      <c r="J119" s="9" t="n">
        <v>5</v>
      </c>
      <c r="K119" s="9" t="inlineStr">
        <is>
          <t>N</t>
        </is>
      </c>
      <c r="L119" s="9" t="n"/>
      <c r="M119" s="116">
        <f>--(COUNTIF($A$2:A119,A119)=1)</f>
        <v>1</v>
      </c>
    </row>
    <row r="120">
      <c r="A120" s="9" t="inlineStr">
        <is>
          <t>YM2610166506</t>
        </is>
      </c>
      <c r="B120" s="114" t="n">
        <v>46311</v>
      </c>
      <c r="C120" s="9" t="inlineStr">
        <is>
          <t>Delhi</t>
        </is>
      </c>
      <c r="D120" s="9" t="inlineStr">
        <is>
          <t>DEL-3</t>
        </is>
      </c>
      <c r="E120" s="9" t="inlineStr">
        <is>
          <t>P-18538</t>
        </is>
      </c>
      <c r="F120" s="9" t="inlineStr">
        <is>
          <t>Hair care</t>
        </is>
      </c>
      <c r="G120" s="9" t="inlineStr">
        <is>
          <t>14–17</t>
        </is>
      </c>
      <c r="H120" s="9" t="inlineStr">
        <is>
          <t>Completed</t>
        </is>
      </c>
      <c r="I120" s="9" t="inlineStr">
        <is>
          <t>Y</t>
        </is>
      </c>
      <c r="J120" s="9" t="n">
        <v>5</v>
      </c>
      <c r="K120" s="9" t="inlineStr">
        <is>
          <t>N</t>
        </is>
      </c>
      <c r="L120" s="9" t="n"/>
      <c r="M120" s="116">
        <f>--(COUNTIF($A$2:A120,A120)=1)</f>
        <v>1</v>
      </c>
    </row>
    <row r="121">
      <c r="A121" s="9" t="inlineStr">
        <is>
          <t>YM2610131601</t>
        </is>
      </c>
      <c r="B121" s="114" t="n">
        <v>46308</v>
      </c>
      <c r="C121" s="9" t="inlineStr">
        <is>
          <t>Rest of India</t>
        </is>
      </c>
      <c r="D121" s="9" t="inlineStr">
        <is>
          <t>AHM-2</t>
        </is>
      </c>
      <c r="E121" s="9" t="n"/>
      <c r="F121" s="9" t="inlineStr">
        <is>
          <t>Threading &amp; de-tan</t>
        </is>
      </c>
      <c r="G121" s="9" t="inlineStr">
        <is>
          <t>8–11</t>
        </is>
      </c>
      <c r="H121" s="9" t="inlineStr">
        <is>
          <t>Unassigned</t>
        </is>
      </c>
      <c r="I121" s="9" t="n"/>
      <c r="J121" s="9" t="n"/>
      <c r="K121" s="9" t="n"/>
      <c r="L121" s="9" t="n"/>
      <c r="M121" s="116">
        <f>--(COUNTIF($A$2:A121,A121)=1)</f>
        <v>1</v>
      </c>
    </row>
    <row r="122">
      <c r="A122" s="9" t="inlineStr">
        <is>
          <t>YM2610218677</t>
        </is>
      </c>
      <c r="B122" s="114" t="n">
        <v>46312</v>
      </c>
      <c r="C122" s="9" t="inlineStr">
        <is>
          <t>Hyderabad</t>
        </is>
      </c>
      <c r="D122" s="9" t="inlineStr">
        <is>
          <t>HYD-2</t>
        </is>
      </c>
      <c r="E122" s="9" t="inlineStr">
        <is>
          <t>P-23832</t>
        </is>
      </c>
      <c r="F122" s="9" t="inlineStr">
        <is>
          <t>Threading &amp; de-tan</t>
        </is>
      </c>
      <c r="G122" s="9" t="inlineStr">
        <is>
          <t>14–17</t>
        </is>
      </c>
      <c r="H122" s="9" t="inlineStr">
        <is>
          <t>Completed</t>
        </is>
      </c>
      <c r="I122" s="9" t="inlineStr">
        <is>
          <t>Y</t>
        </is>
      </c>
      <c r="J122" s="9" t="n">
        <v>5</v>
      </c>
      <c r="K122" s="9" t="inlineStr">
        <is>
          <t>N</t>
        </is>
      </c>
      <c r="L122" s="9" t="n"/>
      <c r="M122" s="116">
        <f>--(COUNTIF($A$2:A122,A122)=1)</f>
        <v>1</v>
      </c>
    </row>
    <row r="123">
      <c r="A123" s="9" t="inlineStr">
        <is>
          <t>YM2610151615</t>
        </is>
      </c>
      <c r="B123" s="114" t="n">
        <v>46313</v>
      </c>
      <c r="C123" s="9" t="inlineStr">
        <is>
          <t>Gurugram</t>
        </is>
      </c>
      <c r="D123" s="9" t="inlineStr">
        <is>
          <t>GGN-2</t>
        </is>
      </c>
      <c r="E123" s="9" t="inlineStr">
        <is>
          <t>P-14157</t>
        </is>
      </c>
      <c r="F123" s="9" t="inlineStr">
        <is>
          <t>Hair care</t>
        </is>
      </c>
      <c r="G123" s="9" t="inlineStr">
        <is>
          <t>14–17</t>
        </is>
      </c>
      <c r="H123" s="9" t="inlineStr">
        <is>
          <t>Completed</t>
        </is>
      </c>
      <c r="I123" s="9" t="inlineStr">
        <is>
          <t>Y</t>
        </is>
      </c>
      <c r="J123" s="9" t="n"/>
      <c r="K123" s="9" t="inlineStr">
        <is>
          <t>N</t>
        </is>
      </c>
      <c r="L123" s="9" t="n"/>
      <c r="M123" s="116">
        <f>--(COUNTIF($A$2:A123,A123)=1)</f>
        <v>1</v>
      </c>
    </row>
    <row r="124">
      <c r="A124" s="9" t="inlineStr">
        <is>
          <t>YM2610207782</t>
        </is>
      </c>
      <c r="B124" s="114" t="n">
        <v>46309</v>
      </c>
      <c r="C124" s="9" t="inlineStr">
        <is>
          <t>Bengaluru</t>
        </is>
      </c>
      <c r="D124" s="9" t="inlineStr">
        <is>
          <t>BLR-3</t>
        </is>
      </c>
      <c r="E124" s="9" t="inlineStr">
        <is>
          <t>P-15555</t>
        </is>
      </c>
      <c r="F124" s="9" t="inlineStr">
        <is>
          <t>Massage &amp; body</t>
        </is>
      </c>
      <c r="G124" s="9" t="inlineStr">
        <is>
          <t>11–14</t>
        </is>
      </c>
      <c r="H124" s="9" t="inlineStr">
        <is>
          <t>Completed</t>
        </is>
      </c>
      <c r="I124" s="9" t="inlineStr">
        <is>
          <t>Y</t>
        </is>
      </c>
      <c r="J124" s="9" t="n"/>
      <c r="K124" s="9" t="inlineStr">
        <is>
          <t>N</t>
        </is>
      </c>
      <c r="L124" s="9" t="n"/>
      <c r="M124" s="116">
        <f>--(COUNTIF($A$2:A124,A124)=1)</f>
        <v>1</v>
      </c>
    </row>
    <row r="125">
      <c r="A125" s="9" t="inlineStr">
        <is>
          <t>YM2610219924</t>
        </is>
      </c>
      <c r="B125" s="114" t="n">
        <v>46309</v>
      </c>
      <c r="C125" s="9" t="inlineStr">
        <is>
          <t>Gurugram</t>
        </is>
      </c>
      <c r="D125" s="9" t="inlineStr">
        <is>
          <t>GGN-4</t>
        </is>
      </c>
      <c r="E125" s="9" t="inlineStr">
        <is>
          <t>P-15065</t>
        </is>
      </c>
      <c r="F125" s="9" t="inlineStr">
        <is>
          <t>Mani-pedi</t>
        </is>
      </c>
      <c r="G125" s="9" t="inlineStr">
        <is>
          <t>14–17</t>
        </is>
      </c>
      <c r="H125" s="9" t="inlineStr">
        <is>
          <t>Completed</t>
        </is>
      </c>
      <c r="I125" s="9" t="inlineStr">
        <is>
          <t>N</t>
        </is>
      </c>
      <c r="J125" s="9" t="n">
        <v>5</v>
      </c>
      <c r="K125" s="9" t="inlineStr">
        <is>
          <t>N</t>
        </is>
      </c>
      <c r="L125" s="9" t="n"/>
      <c r="M125" s="116">
        <f>--(COUNTIF($A$2:A125,A125)=1)</f>
        <v>1</v>
      </c>
    </row>
    <row r="126">
      <c r="A126" s="9" t="inlineStr">
        <is>
          <t>YM2610154906</t>
        </is>
      </c>
      <c r="B126" s="114" t="n">
        <v>46309</v>
      </c>
      <c r="C126" s="9" t="inlineStr">
        <is>
          <t>Bengaluru</t>
        </is>
      </c>
      <c r="D126" s="9" t="inlineStr">
        <is>
          <t>BLR-1</t>
        </is>
      </c>
      <c r="E126" s="9" t="n"/>
      <c r="F126" s="9" t="inlineStr">
        <is>
          <t>Waxing</t>
        </is>
      </c>
      <c r="G126" s="9" t="inlineStr">
        <is>
          <t>11–14</t>
        </is>
      </c>
      <c r="H126" s="9" t="inlineStr">
        <is>
          <t>Unassigned</t>
        </is>
      </c>
      <c r="I126" s="9" t="n"/>
      <c r="J126" s="9" t="n"/>
      <c r="K126" s="9" t="n"/>
      <c r="L126" s="9" t="n"/>
      <c r="M126" s="116">
        <f>--(COUNTIF($A$2:A126,A126)=1)</f>
        <v>1</v>
      </c>
    </row>
    <row r="127">
      <c r="A127" s="9" t="inlineStr">
        <is>
          <t>YM2610156890</t>
        </is>
      </c>
      <c r="B127" s="114" t="n">
        <v>46308</v>
      </c>
      <c r="C127" s="9" t="inlineStr">
        <is>
          <t>Bengaluru</t>
        </is>
      </c>
      <c r="D127" s="9" t="inlineStr">
        <is>
          <t>BLR-1</t>
        </is>
      </c>
      <c r="E127" s="9" t="inlineStr">
        <is>
          <t>P-13580</t>
        </is>
      </c>
      <c r="F127" s="9" t="inlineStr">
        <is>
          <t>Hair care</t>
        </is>
      </c>
      <c r="G127" s="9" t="inlineStr">
        <is>
          <t>8–11</t>
        </is>
      </c>
      <c r="H127" s="9" t="inlineStr">
        <is>
          <t>Completed</t>
        </is>
      </c>
      <c r="I127" s="9" t="inlineStr">
        <is>
          <t>Y</t>
        </is>
      </c>
      <c r="J127" s="9" t="n">
        <v>5</v>
      </c>
      <c r="K127" s="9" t="inlineStr">
        <is>
          <t>N</t>
        </is>
      </c>
      <c r="L127" s="9" t="n"/>
      <c r="M127" s="116">
        <f>--(COUNTIF($A$2:A127,A127)=1)</f>
        <v>1</v>
      </c>
    </row>
    <row r="128">
      <c r="A128" s="9" t="inlineStr">
        <is>
          <t>YM2610186599</t>
        </is>
      </c>
      <c r="B128" s="114" t="n">
        <v>46307</v>
      </c>
      <c r="C128" s="9" t="inlineStr">
        <is>
          <t>Noida &amp; Ghaziabad</t>
        </is>
      </c>
      <c r="D128" s="9" t="inlineStr">
        <is>
          <t>GZB-1</t>
        </is>
      </c>
      <c r="E128" s="9" t="inlineStr">
        <is>
          <t>P-19706</t>
        </is>
      </c>
      <c r="F128" s="9" t="inlineStr">
        <is>
          <t>Massage &amp; body</t>
        </is>
      </c>
      <c r="G128" s="9" t="inlineStr">
        <is>
          <t>11–14</t>
        </is>
      </c>
      <c r="H128" s="9" t="inlineStr">
        <is>
          <t>Completed</t>
        </is>
      </c>
      <c r="I128" s="9" t="inlineStr">
        <is>
          <t>Y</t>
        </is>
      </c>
      <c r="J128" s="9" t="n"/>
      <c r="K128" s="9" t="inlineStr">
        <is>
          <t>N</t>
        </is>
      </c>
      <c r="L128" s="9" t="n"/>
      <c r="M128" s="116">
        <f>--(COUNTIF($A$2:A128,A128)=1)</f>
        <v>1</v>
      </c>
    </row>
    <row r="129">
      <c r="A129" s="9" t="inlineStr">
        <is>
          <t>YM2610176201</t>
        </is>
      </c>
      <c r="B129" s="114" t="n">
        <v>46312</v>
      </c>
      <c r="C129" s="9" t="inlineStr">
        <is>
          <t>Mumbai</t>
        </is>
      </c>
      <c r="D129" s="9" t="inlineStr">
        <is>
          <t>MUM-2</t>
        </is>
      </c>
      <c r="E129" s="9" t="inlineStr">
        <is>
          <t>P-29128</t>
        </is>
      </c>
      <c r="F129" s="9" t="inlineStr">
        <is>
          <t>Threading &amp; de-tan</t>
        </is>
      </c>
      <c r="G129" s="9" t="inlineStr">
        <is>
          <t>20–22</t>
        </is>
      </c>
      <c r="H129" s="9" t="inlineStr">
        <is>
          <t>Completed</t>
        </is>
      </c>
      <c r="I129" s="9" t="inlineStr">
        <is>
          <t>Y</t>
        </is>
      </c>
      <c r="J129" s="9" t="n">
        <v>5</v>
      </c>
      <c r="K129" s="9" t="inlineStr">
        <is>
          <t>N</t>
        </is>
      </c>
      <c r="L129" s="9" t="n"/>
      <c r="M129" s="116">
        <f>--(COUNTIF($A$2:A129,A129)=1)</f>
        <v>1</v>
      </c>
    </row>
    <row r="130">
      <c r="A130" s="9" t="inlineStr">
        <is>
          <t>YM2610214474</t>
        </is>
      </c>
      <c r="B130" s="114" t="n">
        <v>46309</v>
      </c>
      <c r="C130" s="9" t="inlineStr">
        <is>
          <t>Mumbai</t>
        </is>
      </c>
      <c r="D130" s="9" t="inlineStr">
        <is>
          <t>MUM-5</t>
        </is>
      </c>
      <c r="E130" s="9" t="inlineStr">
        <is>
          <t>P-15126</t>
        </is>
      </c>
      <c r="F130" s="9" t="inlineStr">
        <is>
          <t>Facial &amp; clean-up</t>
        </is>
      </c>
      <c r="G130" s="9" t="inlineStr">
        <is>
          <t>14–17</t>
        </is>
      </c>
      <c r="H130" s="9" t="inlineStr">
        <is>
          <t>Completed</t>
        </is>
      </c>
      <c r="I130" s="9" t="inlineStr">
        <is>
          <t>Y</t>
        </is>
      </c>
      <c r="J130" s="9" t="n">
        <v>4</v>
      </c>
      <c r="K130" s="9" t="inlineStr">
        <is>
          <t>N</t>
        </is>
      </c>
      <c r="L130" s="9" t="n"/>
      <c r="M130" s="116">
        <f>--(COUNTIF($A$2:A130,A130)=1)</f>
        <v>1</v>
      </c>
    </row>
    <row r="131">
      <c r="A131" s="9" t="inlineStr">
        <is>
          <t>YM2610144994</t>
        </is>
      </c>
      <c r="B131" s="114" t="n">
        <v>46310</v>
      </c>
      <c r="C131" s="9" t="inlineStr">
        <is>
          <t>Bengaluru</t>
        </is>
      </c>
      <c r="D131" s="9" t="inlineStr">
        <is>
          <t>BLR-3</t>
        </is>
      </c>
      <c r="E131" s="9" t="n"/>
      <c r="F131" s="9" t="inlineStr">
        <is>
          <t>Mani-pedi</t>
        </is>
      </c>
      <c r="G131" s="9" t="inlineStr">
        <is>
          <t>17–20</t>
        </is>
      </c>
      <c r="H131" s="9" t="inlineStr">
        <is>
          <t>Unassigned</t>
        </is>
      </c>
      <c r="I131" s="9" t="n"/>
      <c r="J131" s="9" t="n"/>
      <c r="K131" s="9" t="n"/>
      <c r="L131" s="9" t="n"/>
      <c r="M131" s="116">
        <f>--(COUNTIF($A$2:A131,A131)=1)</f>
        <v>1</v>
      </c>
    </row>
    <row r="132">
      <c r="A132" s="9" t="inlineStr">
        <is>
          <t>YM2610147189</t>
        </is>
      </c>
      <c r="B132" s="114" t="n">
        <v>46311</v>
      </c>
      <c r="C132" s="9" t="inlineStr">
        <is>
          <t>Noida &amp; Ghaziabad</t>
        </is>
      </c>
      <c r="D132" s="9" t="inlineStr">
        <is>
          <t>GZB-1</t>
        </is>
      </c>
      <c r="E132" s="9" t="inlineStr">
        <is>
          <t>P-21410</t>
        </is>
      </c>
      <c r="F132" s="9" t="inlineStr">
        <is>
          <t>Waxing</t>
        </is>
      </c>
      <c r="G132" s="9" t="inlineStr">
        <is>
          <t>20–22</t>
        </is>
      </c>
      <c r="H132" s="9" t="inlineStr">
        <is>
          <t>Completed</t>
        </is>
      </c>
      <c r="I132" s="9" t="inlineStr">
        <is>
          <t>Y</t>
        </is>
      </c>
      <c r="J132" s="9" t="n">
        <v>5</v>
      </c>
      <c r="K132" s="9" t="inlineStr">
        <is>
          <t>N</t>
        </is>
      </c>
      <c r="L132" s="9" t="n"/>
      <c r="M132" s="116">
        <f>--(COUNTIF($A$2:A132,A132)=1)</f>
        <v>1</v>
      </c>
    </row>
    <row r="133">
      <c r="A133" s="9" t="inlineStr">
        <is>
          <t>YM2610180888</t>
        </is>
      </c>
      <c r="B133" s="114" t="n">
        <v>46311</v>
      </c>
      <c r="C133" s="9" t="inlineStr">
        <is>
          <t>Hyderabad</t>
        </is>
      </c>
      <c r="D133" s="9" t="inlineStr">
        <is>
          <t>HYD-2</t>
        </is>
      </c>
      <c r="E133" s="9" t="inlineStr">
        <is>
          <t>P-16022</t>
        </is>
      </c>
      <c r="F133" s="9" t="inlineStr">
        <is>
          <t>Facial &amp; clean-up</t>
        </is>
      </c>
      <c r="G133" s="9" t="inlineStr">
        <is>
          <t>14–17</t>
        </is>
      </c>
      <c r="H133" s="9" t="inlineStr">
        <is>
          <t>Completed</t>
        </is>
      </c>
      <c r="I133" s="9" t="inlineStr">
        <is>
          <t>Y</t>
        </is>
      </c>
      <c r="J133" s="9" t="n">
        <v>5</v>
      </c>
      <c r="K133" s="9" t="inlineStr">
        <is>
          <t>N</t>
        </is>
      </c>
      <c r="L133" s="9" t="n"/>
      <c r="M133" s="116">
        <f>--(COUNTIF($A$2:A133,A133)=1)</f>
        <v>1</v>
      </c>
    </row>
    <row r="134">
      <c r="A134" s="9" t="inlineStr">
        <is>
          <t>YM2610175864</t>
        </is>
      </c>
      <c r="B134" s="114" t="n">
        <v>46310</v>
      </c>
      <c r="C134" s="9" t="inlineStr">
        <is>
          <t>Rest of India</t>
        </is>
      </c>
      <c r="D134" s="9" t="inlineStr">
        <is>
          <t>AHM-2</t>
        </is>
      </c>
      <c r="E134" s="9" t="inlineStr">
        <is>
          <t>P-21538</t>
        </is>
      </c>
      <c r="F134" s="9" t="inlineStr">
        <is>
          <t>Hair care</t>
        </is>
      </c>
      <c r="G134" s="9" t="inlineStr">
        <is>
          <t>8–11</t>
        </is>
      </c>
      <c r="H134" s="9" t="inlineStr">
        <is>
          <t>Completed</t>
        </is>
      </c>
      <c r="I134" s="9" t="inlineStr">
        <is>
          <t>Y</t>
        </is>
      </c>
      <c r="J134" s="9" t="n">
        <v>5</v>
      </c>
      <c r="K134" s="9" t="inlineStr">
        <is>
          <t>N</t>
        </is>
      </c>
      <c r="L134" s="9" t="n"/>
      <c r="M134" s="116">
        <f>--(COUNTIF($A$2:A134,A134)=1)</f>
        <v>1</v>
      </c>
    </row>
    <row r="135">
      <c r="A135" s="9" t="inlineStr">
        <is>
          <t>YM2610172375</t>
        </is>
      </c>
      <c r="B135" s="114" t="n">
        <v>46313</v>
      </c>
      <c r="C135" s="9" t="inlineStr">
        <is>
          <t>Mumbai</t>
        </is>
      </c>
      <c r="D135" s="9" t="inlineStr">
        <is>
          <t>MUM-4</t>
        </is>
      </c>
      <c r="E135" s="9" t="inlineStr">
        <is>
          <t>P-16947</t>
        </is>
      </c>
      <c r="F135" s="9" t="inlineStr">
        <is>
          <t>Waxing</t>
        </is>
      </c>
      <c r="G135" s="9" t="inlineStr">
        <is>
          <t>20–22</t>
        </is>
      </c>
      <c r="H135" s="9" t="inlineStr">
        <is>
          <t>Cancelled – partner</t>
        </is>
      </c>
      <c r="I135" s="9" t="n"/>
      <c r="J135" s="9" t="n"/>
      <c r="K135" s="9" t="n"/>
      <c r="L135" s="9" t="n"/>
      <c r="M135" s="116">
        <f>--(COUNTIF($A$2:A135,A135)=1)</f>
        <v>1</v>
      </c>
    </row>
    <row r="136">
      <c r="A136" s="9" t="inlineStr">
        <is>
          <t>YM2610215464</t>
        </is>
      </c>
      <c r="B136" s="114" t="n">
        <v>46307</v>
      </c>
      <c r="C136" s="9" t="inlineStr">
        <is>
          <t>Rest of India</t>
        </is>
      </c>
      <c r="D136" s="9" t="inlineStr">
        <is>
          <t>LKO-1</t>
        </is>
      </c>
      <c r="E136" s="9" t="inlineStr">
        <is>
          <t>P-14792</t>
        </is>
      </c>
      <c r="F136" s="9" t="inlineStr">
        <is>
          <t>Facial &amp; clean-up</t>
        </is>
      </c>
      <c r="G136" s="9" t="inlineStr">
        <is>
          <t>17–20</t>
        </is>
      </c>
      <c r="H136" s="9" t="inlineStr">
        <is>
          <t>Completed</t>
        </is>
      </c>
      <c r="I136" s="9" t="inlineStr">
        <is>
          <t>Y</t>
        </is>
      </c>
      <c r="J136" s="9" t="n"/>
      <c r="K136" s="9" t="inlineStr">
        <is>
          <t>N</t>
        </is>
      </c>
      <c r="L136" s="9" t="n"/>
      <c r="M136" s="116">
        <f>--(COUNTIF($A$2:A136,A136)=1)</f>
        <v>1</v>
      </c>
    </row>
    <row r="137">
      <c r="A137" s="9" t="inlineStr">
        <is>
          <t>YM2610167497</t>
        </is>
      </c>
      <c r="B137" s="114" t="n">
        <v>46310</v>
      </c>
      <c r="C137" s="9" t="inlineStr">
        <is>
          <t>Rest of India</t>
        </is>
      </c>
      <c r="D137" s="9" t="inlineStr">
        <is>
          <t>LKO-1</t>
        </is>
      </c>
      <c r="E137" s="9" t="inlineStr">
        <is>
          <t>P-18762</t>
        </is>
      </c>
      <c r="F137" s="9" t="inlineStr">
        <is>
          <t>Mani-pedi</t>
        </is>
      </c>
      <c r="G137" s="9" t="inlineStr">
        <is>
          <t>11–14</t>
        </is>
      </c>
      <c r="H137" s="9" t="inlineStr">
        <is>
          <t>Completed</t>
        </is>
      </c>
      <c r="I137" s="9" t="inlineStr">
        <is>
          <t>Y</t>
        </is>
      </c>
      <c r="J137" s="9" t="n">
        <v>4</v>
      </c>
      <c r="K137" s="9" t="inlineStr">
        <is>
          <t>N</t>
        </is>
      </c>
      <c r="L137" s="9" t="n"/>
      <c r="M137" s="116">
        <f>--(COUNTIF($A$2:A137,A137)=1)</f>
        <v>1</v>
      </c>
    </row>
    <row r="138">
      <c r="A138" s="9" t="inlineStr">
        <is>
          <t>YM2610162985</t>
        </is>
      </c>
      <c r="B138" s="114" t="n">
        <v>46311</v>
      </c>
      <c r="C138" s="9" t="inlineStr">
        <is>
          <t>Hyderabad</t>
        </is>
      </c>
      <c r="D138" s="9" t="inlineStr">
        <is>
          <t>HYD-1</t>
        </is>
      </c>
      <c r="E138" s="9" t="inlineStr">
        <is>
          <t>P-25889</t>
        </is>
      </c>
      <c r="F138" s="9" t="inlineStr">
        <is>
          <t>Facial &amp; clean-up</t>
        </is>
      </c>
      <c r="G138" s="9" t="inlineStr">
        <is>
          <t>17–20</t>
        </is>
      </c>
      <c r="H138" s="9" t="inlineStr">
        <is>
          <t>Completed</t>
        </is>
      </c>
      <c r="I138" s="9" t="inlineStr">
        <is>
          <t>Y</t>
        </is>
      </c>
      <c r="J138" s="9" t="n">
        <v>5</v>
      </c>
      <c r="K138" s="9" t="inlineStr">
        <is>
          <t>N</t>
        </is>
      </c>
      <c r="L138" s="9" t="n"/>
      <c r="M138" s="116">
        <f>--(COUNTIF($A$2:A138,A138)=1)</f>
        <v>1</v>
      </c>
    </row>
    <row r="139">
      <c r="A139" s="9" t="inlineStr">
        <is>
          <t>YM2610163559</t>
        </is>
      </c>
      <c r="B139" s="114" t="n">
        <v>46313</v>
      </c>
      <c r="C139" s="9" t="inlineStr">
        <is>
          <t>Noida &amp; Ghaziabad</t>
        </is>
      </c>
      <c r="D139" s="9" t="inlineStr">
        <is>
          <t>NOI-1</t>
        </is>
      </c>
      <c r="E139" s="9" t="inlineStr">
        <is>
          <t>P-27388</t>
        </is>
      </c>
      <c r="F139" s="9" t="inlineStr">
        <is>
          <t>Threading &amp; de-tan</t>
        </is>
      </c>
      <c r="G139" s="9" t="inlineStr">
        <is>
          <t>17–20</t>
        </is>
      </c>
      <c r="H139" s="9" t="inlineStr">
        <is>
          <t>Completed</t>
        </is>
      </c>
      <c r="I139" s="9" t="inlineStr">
        <is>
          <t>Y</t>
        </is>
      </c>
      <c r="J139" s="9" t="n"/>
      <c r="K139" s="9" t="inlineStr">
        <is>
          <t>N</t>
        </is>
      </c>
      <c r="L139" s="9" t="n"/>
      <c r="M139" s="116">
        <f>--(COUNTIF($A$2:A139,A139)=1)</f>
        <v>1</v>
      </c>
    </row>
    <row r="140">
      <c r="A140" s="9" t="inlineStr">
        <is>
          <t>YM2610151623</t>
        </is>
      </c>
      <c r="B140" s="114" t="n">
        <v>46313</v>
      </c>
      <c r="C140" s="9" t="inlineStr">
        <is>
          <t>Delhi</t>
        </is>
      </c>
      <c r="D140" s="9" t="inlineStr">
        <is>
          <t>DEL-1</t>
        </is>
      </c>
      <c r="E140" s="9" t="inlineStr">
        <is>
          <t>P-24809</t>
        </is>
      </c>
      <c r="F140" s="9" t="inlineStr">
        <is>
          <t>Facial &amp; clean-up</t>
        </is>
      </c>
      <c r="G140" s="9" t="inlineStr">
        <is>
          <t>17–20</t>
        </is>
      </c>
      <c r="H140" s="9" t="inlineStr">
        <is>
          <t>Completed</t>
        </is>
      </c>
      <c r="I140" s="9" t="inlineStr">
        <is>
          <t>Y</t>
        </is>
      </c>
      <c r="J140" s="9" t="n">
        <v>5</v>
      </c>
      <c r="K140" s="9" t="inlineStr">
        <is>
          <t>N</t>
        </is>
      </c>
      <c r="L140" s="9" t="n"/>
      <c r="M140" s="116">
        <f>--(COUNTIF($A$2:A140,A140)=1)</f>
        <v>1</v>
      </c>
    </row>
    <row r="141">
      <c r="A141" s="9" t="inlineStr">
        <is>
          <t>YM2610208616</t>
        </is>
      </c>
      <c r="B141" s="114" t="n">
        <v>46308</v>
      </c>
      <c r="C141" s="9" t="inlineStr">
        <is>
          <t>Pune</t>
        </is>
      </c>
      <c r="D141" s="9" t="inlineStr">
        <is>
          <t>PUN-1</t>
        </is>
      </c>
      <c r="E141" s="9" t="inlineStr">
        <is>
          <t>P-16467</t>
        </is>
      </c>
      <c r="F141" s="9" t="inlineStr">
        <is>
          <t>Massage &amp; body</t>
        </is>
      </c>
      <c r="G141" s="9" t="inlineStr">
        <is>
          <t>20–22</t>
        </is>
      </c>
      <c r="H141" s="9" t="inlineStr">
        <is>
          <t>Completed</t>
        </is>
      </c>
      <c r="I141" s="9" t="inlineStr">
        <is>
          <t>Y</t>
        </is>
      </c>
      <c r="J141" s="9" t="n"/>
      <c r="K141" s="9" t="inlineStr">
        <is>
          <t>N</t>
        </is>
      </c>
      <c r="L141" s="9" t="n"/>
      <c r="M141" s="116">
        <f>--(COUNTIF($A$2:A141,A141)=1)</f>
        <v>1</v>
      </c>
    </row>
    <row r="142">
      <c r="A142" s="9" t="inlineStr">
        <is>
          <t>YM2610183028</t>
        </is>
      </c>
      <c r="B142" s="114" t="n">
        <v>46312</v>
      </c>
      <c r="C142" s="9" t="inlineStr">
        <is>
          <t>Rest of India</t>
        </is>
      </c>
      <c r="D142" s="9" t="inlineStr">
        <is>
          <t>AHM-2</t>
        </is>
      </c>
      <c r="E142" s="9" t="inlineStr">
        <is>
          <t>P-28258</t>
        </is>
      </c>
      <c r="F142" s="9" t="inlineStr">
        <is>
          <t>Waxing</t>
        </is>
      </c>
      <c r="G142" s="9" t="inlineStr">
        <is>
          <t>8–11</t>
        </is>
      </c>
      <c r="H142" s="9" t="inlineStr">
        <is>
          <t>Completed</t>
        </is>
      </c>
      <c r="I142" s="9" t="inlineStr">
        <is>
          <t>Y</t>
        </is>
      </c>
      <c r="J142" s="9" t="n">
        <v>4</v>
      </c>
      <c r="K142" s="9" t="inlineStr">
        <is>
          <t>N</t>
        </is>
      </c>
      <c r="L142" s="9" t="n"/>
      <c r="M142" s="116">
        <f>--(COUNTIF($A$2:A142,A142)=1)</f>
        <v>1</v>
      </c>
    </row>
    <row r="143">
      <c r="A143" s="9" t="inlineStr">
        <is>
          <t>YM2610211205</t>
        </is>
      </c>
      <c r="B143" s="114" t="n">
        <v>46312</v>
      </c>
      <c r="C143" s="9" t="inlineStr">
        <is>
          <t>Noida &amp; Ghaziabad</t>
        </is>
      </c>
      <c r="D143" s="9" t="inlineStr">
        <is>
          <t>NOI-1</t>
        </is>
      </c>
      <c r="E143" s="9" t="inlineStr">
        <is>
          <t>P-17276</t>
        </is>
      </c>
      <c r="F143" s="9" t="inlineStr">
        <is>
          <t>Hair care</t>
        </is>
      </c>
      <c r="G143" s="9" t="inlineStr">
        <is>
          <t>14–17</t>
        </is>
      </c>
      <c r="H143" s="9" t="inlineStr">
        <is>
          <t>Completed</t>
        </is>
      </c>
      <c r="I143" s="9" t="inlineStr">
        <is>
          <t>Y</t>
        </is>
      </c>
      <c r="J143" s="9" t="n"/>
      <c r="K143" s="9" t="inlineStr">
        <is>
          <t>N</t>
        </is>
      </c>
      <c r="L143" s="9" t="inlineStr">
        <is>
          <t>Rescheduled</t>
        </is>
      </c>
      <c r="M143" s="116">
        <f>--(COUNTIF($A$2:A143,A143)=1)</f>
        <v>0</v>
      </c>
    </row>
    <row r="144">
      <c r="A144" s="9" t="inlineStr">
        <is>
          <t>YM2610123694</t>
        </is>
      </c>
      <c r="B144" s="114" t="n">
        <v>46313</v>
      </c>
      <c r="C144" s="9" t="inlineStr">
        <is>
          <t>Mumbai</t>
        </is>
      </c>
      <c r="D144" s="9" t="inlineStr">
        <is>
          <t>MUM-5</t>
        </is>
      </c>
      <c r="E144" s="9" t="inlineStr">
        <is>
          <t>P-11503</t>
        </is>
      </c>
      <c r="F144" s="9" t="inlineStr">
        <is>
          <t>Mani-pedi</t>
        </is>
      </c>
      <c r="G144" s="9" t="inlineStr">
        <is>
          <t>17–20</t>
        </is>
      </c>
      <c r="H144" s="9" t="inlineStr">
        <is>
          <t>Completed</t>
        </is>
      </c>
      <c r="I144" s="9" t="inlineStr">
        <is>
          <t>N</t>
        </is>
      </c>
      <c r="J144" s="9" t="n">
        <v>5</v>
      </c>
      <c r="K144" s="9" t="inlineStr">
        <is>
          <t>N</t>
        </is>
      </c>
      <c r="L144" s="9" t="n"/>
      <c r="M144" s="116">
        <f>--(COUNTIF($A$2:A144,A144)=1)</f>
        <v>1</v>
      </c>
    </row>
    <row r="145">
      <c r="A145" s="9" t="inlineStr">
        <is>
          <t>YM2610125442</t>
        </is>
      </c>
      <c r="B145" s="114" t="n">
        <v>46311</v>
      </c>
      <c r="C145" s="9" t="inlineStr">
        <is>
          <t>Rest of India</t>
        </is>
      </c>
      <c r="D145" s="9" t="inlineStr">
        <is>
          <t>LKO-1</t>
        </is>
      </c>
      <c r="E145" s="9" t="n"/>
      <c r="F145" s="9" t="inlineStr">
        <is>
          <t>Mani-pedi</t>
        </is>
      </c>
      <c r="G145" s="9" t="inlineStr">
        <is>
          <t>14–17</t>
        </is>
      </c>
      <c r="H145" s="9" t="inlineStr">
        <is>
          <t>Unassigned</t>
        </is>
      </c>
      <c r="I145" s="9" t="n"/>
      <c r="J145" s="9" t="n"/>
      <c r="K145" s="9" t="n"/>
      <c r="L145" s="9" t="n"/>
      <c r="M145" s="116">
        <f>--(COUNTIF($A$2:A145,A145)=1)</f>
        <v>1</v>
      </c>
    </row>
    <row r="146">
      <c r="A146" s="9" t="inlineStr">
        <is>
          <t>YM2610148620</t>
        </is>
      </c>
      <c r="B146" s="114" t="n">
        <v>46309</v>
      </c>
      <c r="C146" s="9" t="inlineStr">
        <is>
          <t>Bengaluru</t>
        </is>
      </c>
      <c r="D146" s="9" t="inlineStr">
        <is>
          <t>BLR-3</t>
        </is>
      </c>
      <c r="E146" s="9" t="inlineStr">
        <is>
          <t>P-24260</t>
        </is>
      </c>
      <c r="F146" s="9" t="inlineStr">
        <is>
          <t>Facial &amp; clean-up</t>
        </is>
      </c>
      <c r="G146" s="9" t="inlineStr">
        <is>
          <t>17–20</t>
        </is>
      </c>
      <c r="H146" s="9" t="inlineStr">
        <is>
          <t>Completed</t>
        </is>
      </c>
      <c r="I146" s="9" t="inlineStr">
        <is>
          <t>Y</t>
        </is>
      </c>
      <c r="J146" s="9" t="n">
        <v>5</v>
      </c>
      <c r="K146" s="9" t="inlineStr">
        <is>
          <t>N</t>
        </is>
      </c>
      <c r="L146" s="9" t="n"/>
      <c r="M146" s="116">
        <f>--(COUNTIF($A$2:A146,A146)=1)</f>
        <v>1</v>
      </c>
    </row>
    <row r="147">
      <c r="A147" s="9" t="inlineStr">
        <is>
          <t>YM2610187378</t>
        </is>
      </c>
      <c r="B147" s="114" t="n">
        <v>46310</v>
      </c>
      <c r="C147" s="9" t="inlineStr">
        <is>
          <t>Gurugram</t>
        </is>
      </c>
      <c r="D147" s="9" t="inlineStr">
        <is>
          <t>GGN-2</t>
        </is>
      </c>
      <c r="E147" s="9" t="inlineStr">
        <is>
          <t>P-16669</t>
        </is>
      </c>
      <c r="F147" s="9" t="inlineStr">
        <is>
          <t>Hair care</t>
        </is>
      </c>
      <c r="G147" s="9" t="inlineStr">
        <is>
          <t>14–17</t>
        </is>
      </c>
      <c r="H147" s="9" t="inlineStr">
        <is>
          <t>Completed</t>
        </is>
      </c>
      <c r="I147" s="9" t="inlineStr">
        <is>
          <t>Y</t>
        </is>
      </c>
      <c r="J147" s="9" t="n"/>
      <c r="K147" s="9" t="inlineStr">
        <is>
          <t>N</t>
        </is>
      </c>
      <c r="L147" s="9" t="n"/>
      <c r="M147" s="116">
        <f>--(COUNTIF($A$2:A147,A147)=1)</f>
        <v>1</v>
      </c>
    </row>
    <row r="148">
      <c r="A148" s="9" t="inlineStr">
        <is>
          <t>YM2610126249</t>
        </is>
      </c>
      <c r="B148" s="114" t="n">
        <v>46309</v>
      </c>
      <c r="C148" s="9" t="inlineStr">
        <is>
          <t>Noida &amp; Ghaziabad</t>
        </is>
      </c>
      <c r="D148" s="9" t="inlineStr">
        <is>
          <t>NOI-3</t>
        </is>
      </c>
      <c r="E148" s="9" t="inlineStr">
        <is>
          <t>P-28163</t>
        </is>
      </c>
      <c r="F148" s="9" t="inlineStr">
        <is>
          <t>Threading &amp; de-tan</t>
        </is>
      </c>
      <c r="G148" s="9" t="inlineStr">
        <is>
          <t>14–17</t>
        </is>
      </c>
      <c r="H148" s="9" t="inlineStr">
        <is>
          <t>Completed</t>
        </is>
      </c>
      <c r="I148" s="9" t="inlineStr">
        <is>
          <t>Y</t>
        </is>
      </c>
      <c r="J148" s="9" t="n"/>
      <c r="K148" s="9" t="inlineStr">
        <is>
          <t>N</t>
        </is>
      </c>
      <c r="L148" s="9" t="n"/>
      <c r="M148" s="116">
        <f>--(COUNTIF($A$2:A148,A148)=1)</f>
        <v>1</v>
      </c>
    </row>
    <row r="149">
      <c r="A149" s="9" t="inlineStr">
        <is>
          <t>YM2610200781</t>
        </is>
      </c>
      <c r="B149" s="114" t="n">
        <v>46307</v>
      </c>
      <c r="C149" s="9" t="inlineStr">
        <is>
          <t>Noida &amp; Ghaziabad</t>
        </is>
      </c>
      <c r="D149" s="9" t="inlineStr">
        <is>
          <t>GZB-1</t>
        </is>
      </c>
      <c r="E149" s="9" t="n"/>
      <c r="F149" s="9" t="inlineStr">
        <is>
          <t>Waxing</t>
        </is>
      </c>
      <c r="G149" s="9" t="inlineStr">
        <is>
          <t>8–11</t>
        </is>
      </c>
      <c r="H149" s="9" t="inlineStr">
        <is>
          <t>Unassigned</t>
        </is>
      </c>
      <c r="I149" s="9" t="n"/>
      <c r="J149" s="9" t="n"/>
      <c r="K149" s="9" t="n"/>
      <c r="L149" s="9" t="n"/>
      <c r="M149" s="116">
        <f>--(COUNTIF($A$2:A149,A149)=1)</f>
        <v>1</v>
      </c>
    </row>
    <row r="150">
      <c r="A150" s="9" t="inlineStr">
        <is>
          <t>YM2610211324</t>
        </is>
      </c>
      <c r="B150" s="114" t="n">
        <v>46311</v>
      </c>
      <c r="C150" s="9" t="inlineStr">
        <is>
          <t>Mumbai</t>
        </is>
      </c>
      <c r="D150" s="9" t="inlineStr">
        <is>
          <t>MUM-5</t>
        </is>
      </c>
      <c r="E150" s="9" t="inlineStr">
        <is>
          <t>P-12719</t>
        </is>
      </c>
      <c r="F150" s="9" t="inlineStr">
        <is>
          <t>Waxing</t>
        </is>
      </c>
      <c r="G150" s="9" t="inlineStr">
        <is>
          <t>11–14</t>
        </is>
      </c>
      <c r="H150" s="9" t="inlineStr">
        <is>
          <t>Completed</t>
        </is>
      </c>
      <c r="I150" s="9" t="inlineStr">
        <is>
          <t>Y</t>
        </is>
      </c>
      <c r="J150" s="9" t="n"/>
      <c r="K150" s="9" t="inlineStr">
        <is>
          <t>N</t>
        </is>
      </c>
      <c r="L150" s="9" t="n"/>
      <c r="M150" s="116">
        <f>--(COUNTIF($A$2:A150,A150)=1)</f>
        <v>1</v>
      </c>
    </row>
    <row r="151">
      <c r="A151" s="9" t="inlineStr">
        <is>
          <t>YM2610206946</t>
        </is>
      </c>
      <c r="B151" s="114" t="n">
        <v>46307</v>
      </c>
      <c r="C151" s="9" t="inlineStr">
        <is>
          <t>Pune</t>
        </is>
      </c>
      <c r="D151" s="9" t="inlineStr">
        <is>
          <t>PUN-1</t>
        </is>
      </c>
      <c r="E151" s="9" t="inlineStr">
        <is>
          <t>P-22087</t>
        </is>
      </c>
      <c r="F151" s="9" t="inlineStr">
        <is>
          <t>Threading &amp; de-tan</t>
        </is>
      </c>
      <c r="G151" s="9" t="inlineStr">
        <is>
          <t>8–11</t>
        </is>
      </c>
      <c r="H151" s="9" t="inlineStr">
        <is>
          <t>Completed</t>
        </is>
      </c>
      <c r="I151" s="9" t="inlineStr">
        <is>
          <t>Y</t>
        </is>
      </c>
      <c r="J151" s="9" t="n"/>
      <c r="K151" s="9" t="inlineStr">
        <is>
          <t>N</t>
        </is>
      </c>
      <c r="L151" s="9" t="n"/>
      <c r="M151" s="116">
        <f>--(COUNTIF($A$2:A151,A151)=1)</f>
        <v>1</v>
      </c>
    </row>
    <row r="152">
      <c r="A152" s="9" t="inlineStr">
        <is>
          <t>YM2610196796</t>
        </is>
      </c>
      <c r="B152" s="114" t="n">
        <v>46313</v>
      </c>
      <c r="C152" s="9" t="inlineStr">
        <is>
          <t>Hyderabad</t>
        </is>
      </c>
      <c r="D152" s="9" t="inlineStr">
        <is>
          <t>HYD-2</t>
        </is>
      </c>
      <c r="E152" s="9" t="inlineStr">
        <is>
          <t>P-26310</t>
        </is>
      </c>
      <c r="F152" s="9" t="inlineStr">
        <is>
          <t>Hair care</t>
        </is>
      </c>
      <c r="G152" s="9" t="inlineStr">
        <is>
          <t>8–11</t>
        </is>
      </c>
      <c r="H152" s="9" t="inlineStr">
        <is>
          <t>Completed</t>
        </is>
      </c>
      <c r="I152" s="9" t="inlineStr">
        <is>
          <t>Y</t>
        </is>
      </c>
      <c r="J152" s="9" t="n">
        <v>5</v>
      </c>
      <c r="K152" s="9" t="inlineStr">
        <is>
          <t>N</t>
        </is>
      </c>
      <c r="L152" s="9" t="n"/>
      <c r="M152" s="116">
        <f>--(COUNTIF($A$2:A152,A152)=1)</f>
        <v>1</v>
      </c>
    </row>
    <row r="153">
      <c r="A153" s="9" t="inlineStr">
        <is>
          <t>YM2610198590</t>
        </is>
      </c>
      <c r="B153" s="114" t="n">
        <v>46311</v>
      </c>
      <c r="C153" s="9" t="inlineStr">
        <is>
          <t>Rest of India</t>
        </is>
      </c>
      <c r="D153" s="9" t="inlineStr">
        <is>
          <t>LKO-1</t>
        </is>
      </c>
      <c r="E153" s="9" t="inlineStr">
        <is>
          <t>P-25579</t>
        </is>
      </c>
      <c r="F153" s="9" t="inlineStr">
        <is>
          <t>Mani-pedi</t>
        </is>
      </c>
      <c r="G153" s="9" t="inlineStr">
        <is>
          <t>20–22</t>
        </is>
      </c>
      <c r="H153" s="9" t="inlineStr">
        <is>
          <t>Completed</t>
        </is>
      </c>
      <c r="I153" s="9" t="inlineStr">
        <is>
          <t>Y</t>
        </is>
      </c>
      <c r="J153" s="9" t="n">
        <v>5</v>
      </c>
      <c r="K153" s="9" t="inlineStr">
        <is>
          <t>N</t>
        </is>
      </c>
      <c r="L153" s="9" t="n"/>
      <c r="M153" s="116">
        <f>--(COUNTIF($A$2:A153,A153)=1)</f>
        <v>1</v>
      </c>
    </row>
    <row r="154">
      <c r="A154" s="9" t="inlineStr">
        <is>
          <t>YM2610132552</t>
        </is>
      </c>
      <c r="B154" s="114" t="n">
        <v>46313</v>
      </c>
      <c r="C154" s="9" t="inlineStr">
        <is>
          <t>Mumbai</t>
        </is>
      </c>
      <c r="D154" s="9" t="inlineStr">
        <is>
          <t>MUM-2</t>
        </is>
      </c>
      <c r="E154" s="9" t="inlineStr">
        <is>
          <t>P-13976</t>
        </is>
      </c>
      <c r="F154" s="9" t="inlineStr">
        <is>
          <t>Waxing</t>
        </is>
      </c>
      <c r="G154" s="9" t="inlineStr">
        <is>
          <t>14–17</t>
        </is>
      </c>
      <c r="H154" s="9" t="inlineStr">
        <is>
          <t>Completed</t>
        </is>
      </c>
      <c r="I154" s="9" t="inlineStr">
        <is>
          <t>Y</t>
        </is>
      </c>
      <c r="J154" s="9" t="n">
        <v>5</v>
      </c>
      <c r="K154" s="9" t="inlineStr">
        <is>
          <t>N</t>
        </is>
      </c>
      <c r="L154" s="9" t="n"/>
      <c r="M154" s="116">
        <f>--(COUNTIF($A$2:A154,A154)=1)</f>
        <v>1</v>
      </c>
    </row>
    <row r="155">
      <c r="A155" s="9" t="inlineStr">
        <is>
          <t>YM2610214526</t>
        </is>
      </c>
      <c r="B155" s="114" t="n">
        <v>46312</v>
      </c>
      <c r="C155" s="9" t="inlineStr">
        <is>
          <t>Gurugram</t>
        </is>
      </c>
      <c r="D155" s="9" t="inlineStr">
        <is>
          <t>GGN-4</t>
        </is>
      </c>
      <c r="E155" s="9" t="inlineStr">
        <is>
          <t>P-14744</t>
        </is>
      </c>
      <c r="F155" s="9" t="inlineStr">
        <is>
          <t>Mani-pedi</t>
        </is>
      </c>
      <c r="G155" s="9" t="inlineStr">
        <is>
          <t>8–11</t>
        </is>
      </c>
      <c r="H155" s="9" t="inlineStr">
        <is>
          <t>Completed</t>
        </is>
      </c>
      <c r="I155" s="9" t="inlineStr">
        <is>
          <t>Y</t>
        </is>
      </c>
      <c r="J155" s="9" t="n"/>
      <c r="K155" s="9" t="inlineStr">
        <is>
          <t>N</t>
        </is>
      </c>
      <c r="L155" s="9" t="n"/>
      <c r="M155" s="116">
        <f>--(COUNTIF($A$2:A155,A155)=1)</f>
        <v>1</v>
      </c>
    </row>
    <row r="156">
      <c r="A156" s="9" t="inlineStr">
        <is>
          <t>YM2610215006</t>
        </is>
      </c>
      <c r="B156" s="114" t="n">
        <v>46310</v>
      </c>
      <c r="C156" s="9" t="inlineStr">
        <is>
          <t>Hyderabad</t>
        </is>
      </c>
      <c r="D156" s="9" t="inlineStr">
        <is>
          <t>HYD-2</t>
        </is>
      </c>
      <c r="E156" s="9" t="inlineStr">
        <is>
          <t>P-10373</t>
        </is>
      </c>
      <c r="F156" s="9" t="inlineStr">
        <is>
          <t>Waxing</t>
        </is>
      </c>
      <c r="G156" s="9" t="inlineStr">
        <is>
          <t>20–22</t>
        </is>
      </c>
      <c r="H156" s="9" t="inlineStr">
        <is>
          <t>Completed</t>
        </is>
      </c>
      <c r="I156" s="9" t="inlineStr">
        <is>
          <t>Y</t>
        </is>
      </c>
      <c r="J156" s="9" t="n"/>
      <c r="K156" s="9" t="inlineStr">
        <is>
          <t>N</t>
        </is>
      </c>
      <c r="L156" s="9" t="n"/>
      <c r="M156" s="116">
        <f>--(COUNTIF($A$2:A156,A156)=1)</f>
        <v>1</v>
      </c>
    </row>
    <row r="157">
      <c r="A157" s="9" t="inlineStr">
        <is>
          <t>YM2610184744</t>
        </is>
      </c>
      <c r="B157" s="114" t="n">
        <v>46310</v>
      </c>
      <c r="C157" s="9" t="inlineStr">
        <is>
          <t>Bengaluru</t>
        </is>
      </c>
      <c r="D157" s="9" t="inlineStr">
        <is>
          <t>BLR-1</t>
        </is>
      </c>
      <c r="E157" s="9" t="inlineStr">
        <is>
          <t>P-20363</t>
        </is>
      </c>
      <c r="F157" s="9" t="inlineStr">
        <is>
          <t>Facial &amp; clean-up</t>
        </is>
      </c>
      <c r="G157" s="9" t="inlineStr">
        <is>
          <t>11–14</t>
        </is>
      </c>
      <c r="H157" s="9" t="inlineStr">
        <is>
          <t>Completed</t>
        </is>
      </c>
      <c r="I157" s="9" t="inlineStr">
        <is>
          <t>Y</t>
        </is>
      </c>
      <c r="J157" s="9" t="n"/>
      <c r="K157" s="9" t="inlineStr">
        <is>
          <t>N</t>
        </is>
      </c>
      <c r="L157" s="9" t="n"/>
      <c r="M157" s="116">
        <f>--(COUNTIF($A$2:A157,A157)=1)</f>
        <v>1</v>
      </c>
    </row>
    <row r="158">
      <c r="A158" s="9" t="inlineStr">
        <is>
          <t>YM2610203536</t>
        </is>
      </c>
      <c r="B158" s="114" t="n">
        <v>46308</v>
      </c>
      <c r="C158" s="9" t="inlineStr">
        <is>
          <t>Hyderabad</t>
        </is>
      </c>
      <c r="D158" s="9" t="inlineStr">
        <is>
          <t>HYD-1</t>
        </is>
      </c>
      <c r="E158" s="9" t="inlineStr">
        <is>
          <t>P-25629</t>
        </is>
      </c>
      <c r="F158" s="9" t="inlineStr">
        <is>
          <t>Facial &amp; clean-up</t>
        </is>
      </c>
      <c r="G158" s="9" t="inlineStr">
        <is>
          <t>17–20</t>
        </is>
      </c>
      <c r="H158" s="9" t="inlineStr">
        <is>
          <t>Completed</t>
        </is>
      </c>
      <c r="I158" s="9" t="inlineStr">
        <is>
          <t>Y</t>
        </is>
      </c>
      <c r="J158" s="9" t="n"/>
      <c r="K158" s="9" t="inlineStr">
        <is>
          <t>N</t>
        </is>
      </c>
      <c r="L158" s="9" t="n"/>
      <c r="M158" s="116">
        <f>--(COUNTIF($A$2:A158,A158)=1)</f>
        <v>1</v>
      </c>
    </row>
    <row r="159">
      <c r="A159" s="9" t="inlineStr">
        <is>
          <t>YM2610213178</t>
        </is>
      </c>
      <c r="B159" s="114" t="n">
        <v>46311</v>
      </c>
      <c r="C159" s="9" t="inlineStr">
        <is>
          <t>Pune</t>
        </is>
      </c>
      <c r="D159" s="9" t="inlineStr">
        <is>
          <t>PUN-1</t>
        </is>
      </c>
      <c r="E159" s="9" t="inlineStr">
        <is>
          <t>P-29851</t>
        </is>
      </c>
      <c r="F159" s="9" t="inlineStr">
        <is>
          <t>Mani-pedi</t>
        </is>
      </c>
      <c r="G159" s="9" t="inlineStr">
        <is>
          <t>11–14</t>
        </is>
      </c>
      <c r="H159" s="9" t="inlineStr">
        <is>
          <t>Completed</t>
        </is>
      </c>
      <c r="I159" s="9" t="inlineStr">
        <is>
          <t>Y</t>
        </is>
      </c>
      <c r="J159" s="9" t="n"/>
      <c r="K159" s="9" t="inlineStr">
        <is>
          <t>N</t>
        </is>
      </c>
      <c r="L159" s="9" t="n"/>
      <c r="M159" s="116">
        <f>--(COUNTIF($A$2:A159,A159)=1)</f>
        <v>1</v>
      </c>
    </row>
    <row r="160">
      <c r="A160" s="9" t="inlineStr">
        <is>
          <t>YM2610151717</t>
        </is>
      </c>
      <c r="B160" s="114" t="n">
        <v>46311</v>
      </c>
      <c r="C160" s="9" t="inlineStr">
        <is>
          <t>Rest of India</t>
        </is>
      </c>
      <c r="D160" s="9" t="inlineStr">
        <is>
          <t>AHM-2</t>
        </is>
      </c>
      <c r="E160" s="9" t="inlineStr">
        <is>
          <t>P-19283</t>
        </is>
      </c>
      <c r="F160" s="9" t="inlineStr">
        <is>
          <t>Mani-pedi</t>
        </is>
      </c>
      <c r="G160" s="9" t="inlineStr">
        <is>
          <t>20–22</t>
        </is>
      </c>
      <c r="H160" s="9" t="inlineStr">
        <is>
          <t>Completed</t>
        </is>
      </c>
      <c r="I160" s="9" t="inlineStr">
        <is>
          <t>Y</t>
        </is>
      </c>
      <c r="J160" s="9" t="n">
        <v>5</v>
      </c>
      <c r="K160" s="9" t="inlineStr">
        <is>
          <t>N</t>
        </is>
      </c>
      <c r="L160" s="9" t="n"/>
      <c r="M160" s="116">
        <f>--(COUNTIF($A$2:A160,A160)=1)</f>
        <v>1</v>
      </c>
    </row>
    <row r="161">
      <c r="A161" s="9" t="inlineStr">
        <is>
          <t>YM2610195961</t>
        </is>
      </c>
      <c r="B161" s="114" t="n">
        <v>46313</v>
      </c>
      <c r="C161" s="9" t="inlineStr">
        <is>
          <t>Delhi</t>
        </is>
      </c>
      <c r="D161" s="9" t="inlineStr">
        <is>
          <t>DEL-1</t>
        </is>
      </c>
      <c r="E161" s="9" t="inlineStr">
        <is>
          <t>P-18973</t>
        </is>
      </c>
      <c r="F161" s="9" t="inlineStr">
        <is>
          <t>Makeup</t>
        </is>
      </c>
      <c r="G161" s="9" t="inlineStr">
        <is>
          <t>17–20</t>
        </is>
      </c>
      <c r="H161" s="9" t="inlineStr">
        <is>
          <t>Completed</t>
        </is>
      </c>
      <c r="I161" s="9" t="inlineStr">
        <is>
          <t>Y</t>
        </is>
      </c>
      <c r="J161" s="9" t="n">
        <v>5</v>
      </c>
      <c r="K161" s="9" t="inlineStr">
        <is>
          <t>N</t>
        </is>
      </c>
      <c r="L161" s="9" t="n"/>
      <c r="M161" s="116">
        <f>--(COUNTIF($A$2:A161,A161)=1)</f>
        <v>1</v>
      </c>
    </row>
    <row r="162">
      <c r="A162" s="9" t="inlineStr">
        <is>
          <t>YM2610219328</t>
        </is>
      </c>
      <c r="B162" s="114" t="n">
        <v>46311</v>
      </c>
      <c r="C162" s="9" t="inlineStr">
        <is>
          <t>Pune</t>
        </is>
      </c>
      <c r="D162" s="9" t="inlineStr">
        <is>
          <t>PUN-1</t>
        </is>
      </c>
      <c r="E162" s="9" t="inlineStr">
        <is>
          <t>P-20140</t>
        </is>
      </c>
      <c r="F162" s="9" t="inlineStr">
        <is>
          <t>Hair care</t>
        </is>
      </c>
      <c r="G162" s="9" t="inlineStr">
        <is>
          <t>14–17</t>
        </is>
      </c>
      <c r="H162" s="9" t="inlineStr">
        <is>
          <t>Completed</t>
        </is>
      </c>
      <c r="I162" s="9" t="inlineStr">
        <is>
          <t>Y</t>
        </is>
      </c>
      <c r="J162" s="9" t="n">
        <v>5</v>
      </c>
      <c r="K162" s="9" t="inlineStr">
        <is>
          <t>N</t>
        </is>
      </c>
      <c r="L162" s="9" t="n"/>
      <c r="M162" s="116">
        <f>--(COUNTIF($A$2:A162,A162)=1)</f>
        <v>1</v>
      </c>
    </row>
    <row r="163">
      <c r="A163" s="9" t="inlineStr">
        <is>
          <t>YM2610167544</t>
        </is>
      </c>
      <c r="B163" s="114" t="n">
        <v>46309</v>
      </c>
      <c r="C163" s="9" t="inlineStr">
        <is>
          <t>Gurugram</t>
        </is>
      </c>
      <c r="D163" s="9" t="inlineStr">
        <is>
          <t>GGN-1</t>
        </is>
      </c>
      <c r="E163" s="9" t="inlineStr">
        <is>
          <t>P-17630</t>
        </is>
      </c>
      <c r="F163" s="9" t="inlineStr">
        <is>
          <t>Facial &amp; clean-up</t>
        </is>
      </c>
      <c r="G163" s="9" t="inlineStr">
        <is>
          <t>17–20</t>
        </is>
      </c>
      <c r="H163" s="9" t="inlineStr">
        <is>
          <t>Completed</t>
        </is>
      </c>
      <c r="I163" s="9" t="inlineStr">
        <is>
          <t>Y</t>
        </is>
      </c>
      <c r="J163" s="9" t="n">
        <v>5</v>
      </c>
      <c r="K163" s="9" t="inlineStr">
        <is>
          <t>N</t>
        </is>
      </c>
      <c r="L163" s="9" t="n"/>
      <c r="M163" s="116">
        <f>--(COUNTIF($A$2:A163,A163)=1)</f>
        <v>1</v>
      </c>
    </row>
    <row r="164">
      <c r="A164" s="9" t="inlineStr">
        <is>
          <t>YM2610212889</t>
        </is>
      </c>
      <c r="B164" s="114" t="n">
        <v>46309</v>
      </c>
      <c r="C164" s="9" t="inlineStr">
        <is>
          <t>Rest of India</t>
        </is>
      </c>
      <c r="D164" s="9" t="inlineStr">
        <is>
          <t>CHD-1</t>
        </is>
      </c>
      <c r="E164" s="9" t="inlineStr">
        <is>
          <t>P-21889</t>
        </is>
      </c>
      <c r="F164" s="9" t="inlineStr">
        <is>
          <t>Hair care</t>
        </is>
      </c>
      <c r="G164" s="9" t="inlineStr">
        <is>
          <t>14–17</t>
        </is>
      </c>
      <c r="H164" s="9" t="inlineStr">
        <is>
          <t>Completed</t>
        </is>
      </c>
      <c r="I164" s="9" t="inlineStr">
        <is>
          <t>Y</t>
        </is>
      </c>
      <c r="J164" s="9" t="n">
        <v>5</v>
      </c>
      <c r="K164" s="9" t="inlineStr">
        <is>
          <t>N</t>
        </is>
      </c>
      <c r="L164" s="9" t="n"/>
      <c r="M164" s="116">
        <f>--(COUNTIF($A$2:A164,A164)=1)</f>
        <v>1</v>
      </c>
    </row>
    <row r="165">
      <c r="A165" s="9" t="inlineStr">
        <is>
          <t>YM2610169715</t>
        </is>
      </c>
      <c r="B165" s="114" t="n">
        <v>46309</v>
      </c>
      <c r="C165" s="9" t="inlineStr">
        <is>
          <t>Rest of India</t>
        </is>
      </c>
      <c r="D165" s="9" t="inlineStr">
        <is>
          <t>AHM-2</t>
        </is>
      </c>
      <c r="E165" s="9" t="inlineStr">
        <is>
          <t>P-12678</t>
        </is>
      </c>
      <c r="F165" s="9" t="inlineStr">
        <is>
          <t>Waxing</t>
        </is>
      </c>
      <c r="G165" s="9" t="inlineStr">
        <is>
          <t>20–22</t>
        </is>
      </c>
      <c r="H165" s="9" t="inlineStr">
        <is>
          <t>Completed</t>
        </is>
      </c>
      <c r="I165" s="9" t="inlineStr">
        <is>
          <t>Y</t>
        </is>
      </c>
      <c r="J165" s="9" t="n"/>
      <c r="K165" s="9" t="inlineStr">
        <is>
          <t>N</t>
        </is>
      </c>
      <c r="L165" s="9" t="n"/>
      <c r="M165" s="116">
        <f>--(COUNTIF($A$2:A165,A165)=1)</f>
        <v>1</v>
      </c>
    </row>
    <row r="166">
      <c r="A166" s="9" t="inlineStr">
        <is>
          <t>YM2610195117</t>
        </is>
      </c>
      <c r="B166" s="114" t="n">
        <v>46307</v>
      </c>
      <c r="C166" s="9" t="inlineStr">
        <is>
          <t>Mumbai</t>
        </is>
      </c>
      <c r="D166" s="9" t="inlineStr">
        <is>
          <t>MUM-4</t>
        </is>
      </c>
      <c r="E166" s="9" t="inlineStr">
        <is>
          <t>P-29225</t>
        </is>
      </c>
      <c r="F166" s="9" t="inlineStr">
        <is>
          <t>Hair care</t>
        </is>
      </c>
      <c r="G166" s="9" t="inlineStr">
        <is>
          <t>8–11</t>
        </is>
      </c>
      <c r="H166" s="9" t="inlineStr">
        <is>
          <t>Cancelled – partner</t>
        </is>
      </c>
      <c r="I166" s="9" t="n"/>
      <c r="J166" s="9" t="n"/>
      <c r="K166" s="9" t="n"/>
      <c r="L166" s="9" t="n"/>
      <c r="M166" s="116">
        <f>--(COUNTIF($A$2:A166,A166)=1)</f>
        <v>1</v>
      </c>
    </row>
    <row r="167">
      <c r="A167" s="9" t="inlineStr">
        <is>
          <t>YM2610198741</t>
        </is>
      </c>
      <c r="B167" s="114" t="n">
        <v>46312</v>
      </c>
      <c r="C167" s="9" t="inlineStr">
        <is>
          <t>Gurugram</t>
        </is>
      </c>
      <c r="D167" s="9" t="inlineStr">
        <is>
          <t>GGN-4</t>
        </is>
      </c>
      <c r="E167" s="9" t="n"/>
      <c r="F167" s="9" t="inlineStr">
        <is>
          <t>Makeup</t>
        </is>
      </c>
      <c r="G167" s="9" t="inlineStr">
        <is>
          <t>11–14</t>
        </is>
      </c>
      <c r="H167" s="9" t="inlineStr">
        <is>
          <t>Unassigned</t>
        </is>
      </c>
      <c r="I167" s="9" t="n"/>
      <c r="J167" s="9" t="n"/>
      <c r="K167" s="9" t="n"/>
      <c r="L167" s="9" t="n"/>
      <c r="M167" s="116">
        <f>--(COUNTIF($A$2:A167,A167)=1)</f>
        <v>1</v>
      </c>
    </row>
    <row r="168">
      <c r="A168" s="9" t="inlineStr">
        <is>
          <t>YM2610194056</t>
        </is>
      </c>
      <c r="B168" s="114" t="n">
        <v>46307</v>
      </c>
      <c r="C168" s="9" t="inlineStr">
        <is>
          <t>Gurugram</t>
        </is>
      </c>
      <c r="D168" s="9" t="inlineStr">
        <is>
          <t>GGN-2</t>
        </is>
      </c>
      <c r="E168" s="9" t="inlineStr">
        <is>
          <t>P-25016</t>
        </is>
      </c>
      <c r="F168" s="9" t="inlineStr">
        <is>
          <t>Massage &amp; body</t>
        </is>
      </c>
      <c r="G168" s="9" t="inlineStr">
        <is>
          <t>11–14</t>
        </is>
      </c>
      <c r="H168" s="9" t="inlineStr">
        <is>
          <t>Completed</t>
        </is>
      </c>
      <c r="I168" s="9" t="inlineStr">
        <is>
          <t>Y</t>
        </is>
      </c>
      <c r="J168" s="9" t="n">
        <v>5</v>
      </c>
      <c r="K168" s="9" t="inlineStr">
        <is>
          <t>N</t>
        </is>
      </c>
      <c r="L168" s="9" t="n"/>
      <c r="M168" s="116">
        <f>--(COUNTIF($A$2:A168,A168)=1)</f>
        <v>1</v>
      </c>
    </row>
    <row r="169">
      <c r="A169" s="9" t="inlineStr">
        <is>
          <t>YM2610151567</t>
        </is>
      </c>
      <c r="B169" s="114" t="n">
        <v>46312</v>
      </c>
      <c r="C169" s="9" t="inlineStr">
        <is>
          <t>Rest of India</t>
        </is>
      </c>
      <c r="D169" s="9" t="inlineStr">
        <is>
          <t>JAI-1</t>
        </is>
      </c>
      <c r="E169" s="9" t="inlineStr">
        <is>
          <t>P-26597</t>
        </is>
      </c>
      <c r="F169" s="9" t="inlineStr">
        <is>
          <t>Facial &amp; clean-up</t>
        </is>
      </c>
      <c r="G169" s="9" t="inlineStr">
        <is>
          <t>20–22</t>
        </is>
      </c>
      <c r="H169" s="9" t="inlineStr">
        <is>
          <t>Completed</t>
        </is>
      </c>
      <c r="I169" s="9" t="inlineStr">
        <is>
          <t>Y</t>
        </is>
      </c>
      <c r="J169" s="9" t="n">
        <v>5</v>
      </c>
      <c r="K169" s="9" t="inlineStr">
        <is>
          <t>N</t>
        </is>
      </c>
      <c r="L169" s="9" t="n"/>
      <c r="M169" s="116">
        <f>--(COUNTIF($A$2:A169,A169)=1)</f>
        <v>1</v>
      </c>
    </row>
    <row r="170">
      <c r="A170" s="9" t="inlineStr">
        <is>
          <t>YM2610193461</t>
        </is>
      </c>
      <c r="B170" s="114" t="n">
        <v>46313</v>
      </c>
      <c r="C170" s="9" t="inlineStr">
        <is>
          <t>Rest of India</t>
        </is>
      </c>
      <c r="D170" s="9" t="inlineStr">
        <is>
          <t>JAI-1</t>
        </is>
      </c>
      <c r="E170" s="9" t="inlineStr">
        <is>
          <t>P-11541</t>
        </is>
      </c>
      <c r="F170" s="9" t="inlineStr">
        <is>
          <t>Facial &amp; clean-up</t>
        </is>
      </c>
      <c r="G170" s="9" t="inlineStr">
        <is>
          <t>11–14</t>
        </is>
      </c>
      <c r="H170" s="9" t="inlineStr">
        <is>
          <t>Completed</t>
        </is>
      </c>
      <c r="I170" s="9" t="inlineStr">
        <is>
          <t>Y</t>
        </is>
      </c>
      <c r="J170" s="9" t="n">
        <v>5</v>
      </c>
      <c r="K170" s="9" t="inlineStr">
        <is>
          <t>N</t>
        </is>
      </c>
      <c r="L170" s="9" t="n"/>
      <c r="M170" s="116">
        <f>--(COUNTIF($A$2:A170,A170)=1)</f>
        <v>1</v>
      </c>
    </row>
    <row r="171">
      <c r="A171" s="9" t="inlineStr">
        <is>
          <t>YM2610219071</t>
        </is>
      </c>
      <c r="B171" s="114" t="n">
        <v>46311</v>
      </c>
      <c r="C171" s="9" t="inlineStr">
        <is>
          <t>Pune</t>
        </is>
      </c>
      <c r="D171" s="9" t="inlineStr">
        <is>
          <t>PUN-1</t>
        </is>
      </c>
      <c r="E171" s="9" t="inlineStr">
        <is>
          <t>P-29326</t>
        </is>
      </c>
      <c r="F171" s="9" t="inlineStr">
        <is>
          <t>Hair care</t>
        </is>
      </c>
      <c r="G171" s="9" t="inlineStr">
        <is>
          <t>8–11</t>
        </is>
      </c>
      <c r="H171" s="9" t="inlineStr">
        <is>
          <t>Completed</t>
        </is>
      </c>
      <c r="I171" s="9" t="inlineStr">
        <is>
          <t>Y</t>
        </is>
      </c>
      <c r="J171" s="9" t="n">
        <v>5</v>
      </c>
      <c r="K171" s="9" t="inlineStr">
        <is>
          <t>N</t>
        </is>
      </c>
      <c r="L171" s="9" t="n"/>
      <c r="M171" s="116">
        <f>--(COUNTIF($A$2:A171,A171)=1)</f>
        <v>1</v>
      </c>
    </row>
    <row r="172">
      <c r="A172" s="9" t="inlineStr">
        <is>
          <t>YM2610139762</t>
        </is>
      </c>
      <c r="B172" s="114" t="n">
        <v>46309</v>
      </c>
      <c r="C172" s="9" t="inlineStr">
        <is>
          <t>Noida &amp; Ghaziabad</t>
        </is>
      </c>
      <c r="D172" s="9" t="inlineStr">
        <is>
          <t>GZB-1</t>
        </is>
      </c>
      <c r="E172" s="9" t="inlineStr">
        <is>
          <t>P-10413</t>
        </is>
      </c>
      <c r="F172" s="9" t="inlineStr">
        <is>
          <t>Massage &amp; body</t>
        </is>
      </c>
      <c r="G172" s="9" t="inlineStr">
        <is>
          <t>8–11</t>
        </is>
      </c>
      <c r="H172" s="9" t="inlineStr">
        <is>
          <t>Completed</t>
        </is>
      </c>
      <c r="I172" s="9" t="inlineStr">
        <is>
          <t>N</t>
        </is>
      </c>
      <c r="J172" s="9" t="n">
        <v>5</v>
      </c>
      <c r="K172" s="9" t="inlineStr">
        <is>
          <t>N</t>
        </is>
      </c>
      <c r="L172" s="9" t="n"/>
      <c r="M172" s="116">
        <f>--(COUNTIF($A$2:A172,A172)=1)</f>
        <v>1</v>
      </c>
    </row>
    <row r="173">
      <c r="A173" s="9" t="inlineStr">
        <is>
          <t>YM2610179621</t>
        </is>
      </c>
      <c r="B173" s="114" t="n">
        <v>46313</v>
      </c>
      <c r="C173" s="9" t="inlineStr">
        <is>
          <t>Delhi</t>
        </is>
      </c>
      <c r="D173" s="9" t="inlineStr">
        <is>
          <t>DEL-1</t>
        </is>
      </c>
      <c r="E173" s="9" t="inlineStr">
        <is>
          <t>P-22618</t>
        </is>
      </c>
      <c r="F173" s="9" t="inlineStr">
        <is>
          <t>Threading &amp; de-tan</t>
        </is>
      </c>
      <c r="G173" s="9" t="inlineStr">
        <is>
          <t>8–11</t>
        </is>
      </c>
      <c r="H173" s="9" t="inlineStr">
        <is>
          <t>Completed</t>
        </is>
      </c>
      <c r="I173" s="9" t="inlineStr">
        <is>
          <t>Y</t>
        </is>
      </c>
      <c r="J173" s="9" t="n">
        <v>5</v>
      </c>
      <c r="K173" s="9" t="inlineStr">
        <is>
          <t>N</t>
        </is>
      </c>
      <c r="L173" s="9" t="n"/>
      <c r="M173" s="116">
        <f>--(COUNTIF($A$2:A173,A173)=1)</f>
        <v>1</v>
      </c>
    </row>
    <row r="174">
      <c r="A174" s="9" t="inlineStr">
        <is>
          <t>YM2610128435</t>
        </is>
      </c>
      <c r="B174" s="114" t="n">
        <v>46313</v>
      </c>
      <c r="C174" s="9" t="inlineStr">
        <is>
          <t>Noida &amp; Ghaziabad</t>
        </is>
      </c>
      <c r="D174" s="9" t="inlineStr">
        <is>
          <t>NOI-1</t>
        </is>
      </c>
      <c r="E174" s="9" t="inlineStr">
        <is>
          <t>P-24790</t>
        </is>
      </c>
      <c r="F174" s="9" t="inlineStr">
        <is>
          <t>Hair care</t>
        </is>
      </c>
      <c r="G174" s="9" t="inlineStr">
        <is>
          <t>14–17</t>
        </is>
      </c>
      <c r="H174" s="9" t="inlineStr">
        <is>
          <t>Completed</t>
        </is>
      </c>
      <c r="I174" s="9" t="inlineStr">
        <is>
          <t>Y</t>
        </is>
      </c>
      <c r="J174" s="9" t="n">
        <v>5</v>
      </c>
      <c r="K174" s="9" t="inlineStr">
        <is>
          <t>N</t>
        </is>
      </c>
      <c r="L174" s="9" t="n"/>
      <c r="M174" s="116">
        <f>--(COUNTIF($A$2:A174,A174)=1)</f>
        <v>1</v>
      </c>
    </row>
    <row r="175">
      <c r="A175" s="9" t="inlineStr">
        <is>
          <t>YM2610164844</t>
        </is>
      </c>
      <c r="B175" s="114" t="n">
        <v>46310</v>
      </c>
      <c r="C175" s="9" t="inlineStr">
        <is>
          <t>Gurugram</t>
        </is>
      </c>
      <c r="D175" s="9" t="inlineStr">
        <is>
          <t>GGN-1</t>
        </is>
      </c>
      <c r="E175" s="9" t="inlineStr">
        <is>
          <t>P-18541</t>
        </is>
      </c>
      <c r="F175" s="9" t="inlineStr">
        <is>
          <t>Massage &amp; body</t>
        </is>
      </c>
      <c r="G175" s="9" t="inlineStr">
        <is>
          <t>8–11</t>
        </is>
      </c>
      <c r="H175" s="9" t="inlineStr">
        <is>
          <t>Completed</t>
        </is>
      </c>
      <c r="I175" s="9" t="inlineStr">
        <is>
          <t>Y</t>
        </is>
      </c>
      <c r="J175" s="9" t="n"/>
      <c r="K175" s="9" t="inlineStr">
        <is>
          <t>N</t>
        </is>
      </c>
      <c r="L175" s="9" t="n"/>
      <c r="M175" s="116">
        <f>--(COUNTIF($A$2:A175,A175)=1)</f>
        <v>1</v>
      </c>
    </row>
    <row r="176">
      <c r="A176" s="9" t="inlineStr">
        <is>
          <t>YM2610208592</t>
        </is>
      </c>
      <c r="B176" s="114" t="n">
        <v>46313</v>
      </c>
      <c r="C176" s="9" t="inlineStr">
        <is>
          <t>Delhi</t>
        </is>
      </c>
      <c r="D176" s="9" t="inlineStr">
        <is>
          <t>DEL-1</t>
        </is>
      </c>
      <c r="E176" s="9" t="n"/>
      <c r="F176" s="9" t="inlineStr">
        <is>
          <t>Hair care</t>
        </is>
      </c>
      <c r="G176" s="9" t="inlineStr">
        <is>
          <t>8–11</t>
        </is>
      </c>
      <c r="H176" s="9" t="inlineStr">
        <is>
          <t>Unassigned</t>
        </is>
      </c>
      <c r="I176" s="9" t="n"/>
      <c r="J176" s="9" t="n"/>
      <c r="K176" s="9" t="n"/>
      <c r="L176" s="9" t="n"/>
      <c r="M176" s="116">
        <f>--(COUNTIF($A$2:A176,A176)=1)</f>
        <v>1</v>
      </c>
    </row>
    <row r="177">
      <c r="A177" s="9" t="inlineStr">
        <is>
          <t>YM2610177630</t>
        </is>
      </c>
      <c r="B177" s="114" t="n">
        <v>46307</v>
      </c>
      <c r="C177" s="9" t="inlineStr">
        <is>
          <t>Rest of India</t>
        </is>
      </c>
      <c r="D177" s="9" t="inlineStr">
        <is>
          <t>CHD-1</t>
        </is>
      </c>
      <c r="E177" s="9" t="inlineStr">
        <is>
          <t>P-17820</t>
        </is>
      </c>
      <c r="F177" s="9" t="inlineStr">
        <is>
          <t>Laser &amp; Hydra</t>
        </is>
      </c>
      <c r="G177" s="9" t="inlineStr">
        <is>
          <t>17–20</t>
        </is>
      </c>
      <c r="H177" s="9" t="inlineStr">
        <is>
          <t>Cancelled – customer</t>
        </is>
      </c>
      <c r="I177" s="9" t="n"/>
      <c r="J177" s="9" t="n"/>
      <c r="K177" s="9" t="n"/>
      <c r="L177" s="9" t="n"/>
      <c r="M177" s="116">
        <f>--(COUNTIF($A$2:A177,A177)=1)</f>
        <v>1</v>
      </c>
    </row>
    <row r="178">
      <c r="A178" s="9" t="inlineStr">
        <is>
          <t>YM2610159472</t>
        </is>
      </c>
      <c r="B178" s="114" t="n">
        <v>46309</v>
      </c>
      <c r="C178" s="9" t="inlineStr">
        <is>
          <t>Delhi</t>
        </is>
      </c>
      <c r="D178" s="9" t="inlineStr">
        <is>
          <t>DEL-1</t>
        </is>
      </c>
      <c r="E178" s="9" t="inlineStr">
        <is>
          <t>P-10525</t>
        </is>
      </c>
      <c r="F178" s="9" t="inlineStr">
        <is>
          <t>Massage &amp; body</t>
        </is>
      </c>
      <c r="G178" s="9" t="inlineStr">
        <is>
          <t>20–22</t>
        </is>
      </c>
      <c r="H178" s="9" t="inlineStr">
        <is>
          <t>Completed</t>
        </is>
      </c>
      <c r="I178" s="9" t="inlineStr">
        <is>
          <t>Y</t>
        </is>
      </c>
      <c r="J178" s="9" t="n"/>
      <c r="K178" s="9" t="inlineStr">
        <is>
          <t>N</t>
        </is>
      </c>
      <c r="L178" s="9" t="n"/>
      <c r="M178" s="116">
        <f>--(COUNTIF($A$2:A178,A178)=1)</f>
        <v>1</v>
      </c>
    </row>
    <row r="179">
      <c r="A179" s="9" t="inlineStr">
        <is>
          <t>YM2610174600</t>
        </is>
      </c>
      <c r="B179" s="114" t="n">
        <v>46312</v>
      </c>
      <c r="C179" s="9" t="inlineStr">
        <is>
          <t>Mumbai</t>
        </is>
      </c>
      <c r="D179" s="9" t="inlineStr">
        <is>
          <t>MUM-2</t>
        </is>
      </c>
      <c r="E179" s="9" t="inlineStr">
        <is>
          <t>P-19071</t>
        </is>
      </c>
      <c r="F179" s="9" t="inlineStr">
        <is>
          <t>Hair care</t>
        </is>
      </c>
      <c r="G179" s="9" t="inlineStr">
        <is>
          <t>20–22</t>
        </is>
      </c>
      <c r="H179" s="9" t="inlineStr">
        <is>
          <t>Completed</t>
        </is>
      </c>
      <c r="I179" s="9" t="inlineStr">
        <is>
          <t>Y</t>
        </is>
      </c>
      <c r="J179" s="9" t="n">
        <v>5</v>
      </c>
      <c r="K179" s="9" t="inlineStr">
        <is>
          <t>N</t>
        </is>
      </c>
      <c r="L179" s="9" t="n"/>
      <c r="M179" s="116">
        <f>--(COUNTIF($A$2:A179,A179)=1)</f>
        <v>1</v>
      </c>
    </row>
    <row r="180">
      <c r="A180" s="9" t="inlineStr">
        <is>
          <t>YM2610185943</t>
        </is>
      </c>
      <c r="B180" s="114" t="n">
        <v>46312</v>
      </c>
      <c r="C180" s="9" t="inlineStr">
        <is>
          <t>Pune</t>
        </is>
      </c>
      <c r="D180" s="9" t="inlineStr">
        <is>
          <t>PUN-1</t>
        </is>
      </c>
      <c r="E180" s="9" t="inlineStr">
        <is>
          <t>P-15744</t>
        </is>
      </c>
      <c r="F180" s="9" t="inlineStr">
        <is>
          <t>Waxing</t>
        </is>
      </c>
      <c r="G180" s="9" t="inlineStr">
        <is>
          <t>8–11</t>
        </is>
      </c>
      <c r="H180" s="9" t="inlineStr">
        <is>
          <t>Completed</t>
        </is>
      </c>
      <c r="I180" s="9" t="inlineStr">
        <is>
          <t>Y</t>
        </is>
      </c>
      <c r="J180" s="9" t="n">
        <v>5</v>
      </c>
      <c r="K180" s="9" t="inlineStr">
        <is>
          <t>N</t>
        </is>
      </c>
      <c r="L180" s="9" t="n"/>
      <c r="M180" s="116">
        <f>--(COUNTIF($A$2:A180,A180)=1)</f>
        <v>1</v>
      </c>
    </row>
    <row r="181">
      <c r="A181" s="9" t="inlineStr">
        <is>
          <t>YM2610174493</t>
        </is>
      </c>
      <c r="B181" s="114" t="n">
        <v>46311</v>
      </c>
      <c r="C181" s="9" t="inlineStr">
        <is>
          <t>Rest of India</t>
        </is>
      </c>
      <c r="D181" s="9" t="inlineStr">
        <is>
          <t>JAI-1</t>
        </is>
      </c>
      <c r="E181" s="9" t="inlineStr">
        <is>
          <t>P-26988</t>
        </is>
      </c>
      <c r="F181" s="9" t="inlineStr">
        <is>
          <t>Threading &amp; de-tan</t>
        </is>
      </c>
      <c r="G181" s="9" t="inlineStr">
        <is>
          <t>11–14</t>
        </is>
      </c>
      <c r="H181" s="9" t="inlineStr">
        <is>
          <t>Completed</t>
        </is>
      </c>
      <c r="I181" s="9" t="inlineStr">
        <is>
          <t>Y</t>
        </is>
      </c>
      <c r="J181" s="9" t="n"/>
      <c r="K181" s="9" t="inlineStr">
        <is>
          <t>N</t>
        </is>
      </c>
      <c r="L181" s="9" t="n"/>
      <c r="M181" s="116">
        <f>--(COUNTIF($A$2:A181,A181)=1)</f>
        <v>1</v>
      </c>
    </row>
    <row r="182">
      <c r="A182" s="9" t="inlineStr">
        <is>
          <t>YM2610183470</t>
        </is>
      </c>
      <c r="B182" s="114" t="n">
        <v>46311</v>
      </c>
      <c r="C182" s="9" t="inlineStr">
        <is>
          <t>Rest of India</t>
        </is>
      </c>
      <c r="D182" s="9" t="inlineStr">
        <is>
          <t>LKO-1</t>
        </is>
      </c>
      <c r="E182" s="9" t="n"/>
      <c r="F182" s="9" t="inlineStr">
        <is>
          <t>Threading &amp; de-tan</t>
        </is>
      </c>
      <c r="G182" s="9" t="inlineStr">
        <is>
          <t>8–11</t>
        </is>
      </c>
      <c r="H182" s="9" t="inlineStr">
        <is>
          <t>Unassigned</t>
        </is>
      </c>
      <c r="I182" s="9" t="n"/>
      <c r="J182" s="9" t="n"/>
      <c r="K182" s="9" t="n"/>
      <c r="L182" s="9" t="n"/>
      <c r="M182" s="116">
        <f>--(COUNTIF($A$2:A182,A182)=1)</f>
        <v>1</v>
      </c>
    </row>
    <row r="183">
      <c r="A183" s="9" t="inlineStr">
        <is>
          <t>YM2610198974</t>
        </is>
      </c>
      <c r="B183" s="114" t="n">
        <v>46308</v>
      </c>
      <c r="C183" s="9" t="inlineStr">
        <is>
          <t>Gurugram</t>
        </is>
      </c>
      <c r="D183" s="9" t="inlineStr">
        <is>
          <t>GGN-1</t>
        </is>
      </c>
      <c r="E183" s="9" t="inlineStr">
        <is>
          <t>P-21670</t>
        </is>
      </c>
      <c r="F183" s="9" t="inlineStr">
        <is>
          <t>Massage &amp; body</t>
        </is>
      </c>
      <c r="G183" s="9" t="inlineStr">
        <is>
          <t>17–20</t>
        </is>
      </c>
      <c r="H183" s="9" t="inlineStr">
        <is>
          <t>Completed</t>
        </is>
      </c>
      <c r="I183" s="9" t="inlineStr">
        <is>
          <t>Y</t>
        </is>
      </c>
      <c r="J183" s="9" t="n">
        <v>5</v>
      </c>
      <c r="K183" s="9" t="inlineStr">
        <is>
          <t>N</t>
        </is>
      </c>
      <c r="L183" s="9" t="n"/>
      <c r="M183" s="116">
        <f>--(COUNTIF($A$2:A183,A183)=1)</f>
        <v>1</v>
      </c>
    </row>
    <row r="184">
      <c r="A184" s="9" t="inlineStr">
        <is>
          <t>YM2610170989</t>
        </is>
      </c>
      <c r="B184" s="114" t="n">
        <v>46312</v>
      </c>
      <c r="C184" s="9" t="inlineStr">
        <is>
          <t>Delhi</t>
        </is>
      </c>
      <c r="D184" s="9" t="inlineStr">
        <is>
          <t>DEL-3</t>
        </is>
      </c>
      <c r="E184" s="9" t="inlineStr">
        <is>
          <t>P-12005</t>
        </is>
      </c>
      <c r="F184" s="9" t="inlineStr">
        <is>
          <t>Facial &amp; clean-up</t>
        </is>
      </c>
      <c r="G184" s="9" t="inlineStr">
        <is>
          <t>17–20</t>
        </is>
      </c>
      <c r="H184" s="9" t="inlineStr">
        <is>
          <t>Completed</t>
        </is>
      </c>
      <c r="I184" s="9" t="inlineStr">
        <is>
          <t>Y</t>
        </is>
      </c>
      <c r="J184" s="9" t="n">
        <v>5</v>
      </c>
      <c r="K184" s="9" t="inlineStr">
        <is>
          <t>N</t>
        </is>
      </c>
      <c r="L184" s="9" t="n"/>
      <c r="M184" s="116">
        <f>--(COUNTIF($A$2:A184,A184)=1)</f>
        <v>1</v>
      </c>
    </row>
    <row r="185">
      <c r="A185" s="9" t="inlineStr">
        <is>
          <t>YM2610202143</t>
        </is>
      </c>
      <c r="B185" s="114" t="n">
        <v>46307</v>
      </c>
      <c r="C185" s="9" t="inlineStr">
        <is>
          <t>Mumbai</t>
        </is>
      </c>
      <c r="D185" s="9" t="inlineStr">
        <is>
          <t>MUM-2</t>
        </is>
      </c>
      <c r="E185" s="9" t="inlineStr">
        <is>
          <t>P-15501</t>
        </is>
      </c>
      <c r="F185" s="9" t="inlineStr">
        <is>
          <t>Waxing</t>
        </is>
      </c>
      <c r="G185" s="9" t="inlineStr">
        <is>
          <t>17–20</t>
        </is>
      </c>
      <c r="H185" s="9" t="inlineStr">
        <is>
          <t>Completed</t>
        </is>
      </c>
      <c r="I185" s="9" t="inlineStr">
        <is>
          <t>Y</t>
        </is>
      </c>
      <c r="J185" s="9" t="n">
        <v>5</v>
      </c>
      <c r="K185" s="9" t="inlineStr">
        <is>
          <t>N</t>
        </is>
      </c>
      <c r="L185" s="9" t="n"/>
      <c r="M185" s="116">
        <f>--(COUNTIF($A$2:A185,A185)=1)</f>
        <v>1</v>
      </c>
    </row>
    <row r="186">
      <c r="A186" s="9" t="inlineStr">
        <is>
          <t>YM2610196560</t>
        </is>
      </c>
      <c r="B186" s="114" t="n">
        <v>46307</v>
      </c>
      <c r="C186" s="9" t="inlineStr">
        <is>
          <t>Delhi</t>
        </is>
      </c>
      <c r="D186" s="9" t="inlineStr">
        <is>
          <t>DEL-2</t>
        </is>
      </c>
      <c r="E186" s="9" t="inlineStr">
        <is>
          <t>P-27134</t>
        </is>
      </c>
      <c r="F186" s="9" t="inlineStr">
        <is>
          <t>Waxing</t>
        </is>
      </c>
      <c r="G186" s="9" t="inlineStr">
        <is>
          <t>17–20</t>
        </is>
      </c>
      <c r="H186" s="9" t="inlineStr">
        <is>
          <t>Completed</t>
        </is>
      </c>
      <c r="I186" s="9" t="inlineStr">
        <is>
          <t>Y</t>
        </is>
      </c>
      <c r="J186" s="9" t="n">
        <v>5</v>
      </c>
      <c r="K186" s="9" t="inlineStr">
        <is>
          <t>N</t>
        </is>
      </c>
      <c r="L186" s="9" t="n"/>
      <c r="M186" s="116">
        <f>--(COUNTIF($A$2:A186,A186)=1)</f>
        <v>1</v>
      </c>
    </row>
    <row r="187">
      <c r="A187" s="9" t="inlineStr">
        <is>
          <t>YM2610135423</t>
        </is>
      </c>
      <c r="B187" s="114" t="n">
        <v>46308</v>
      </c>
      <c r="C187" s="9" t="inlineStr">
        <is>
          <t>Delhi</t>
        </is>
      </c>
      <c r="D187" s="9" t="inlineStr">
        <is>
          <t>DEL-1</t>
        </is>
      </c>
      <c r="E187" s="9" t="inlineStr">
        <is>
          <t>P-13982</t>
        </is>
      </c>
      <c r="F187" s="9" t="inlineStr">
        <is>
          <t>Facial &amp; clean-up</t>
        </is>
      </c>
      <c r="G187" s="9" t="inlineStr">
        <is>
          <t>11–14</t>
        </is>
      </c>
      <c r="H187" s="9" t="inlineStr">
        <is>
          <t>Completed</t>
        </is>
      </c>
      <c r="I187" s="9" t="inlineStr">
        <is>
          <t>Y</t>
        </is>
      </c>
      <c r="J187" s="9" t="n">
        <v>5</v>
      </c>
      <c r="K187" s="9" t="inlineStr">
        <is>
          <t>N</t>
        </is>
      </c>
      <c r="L187" s="9" t="n"/>
      <c r="M187" s="116">
        <f>--(COUNTIF($A$2:A187,A187)=1)</f>
        <v>1</v>
      </c>
    </row>
    <row r="188">
      <c r="A188" s="9" t="inlineStr">
        <is>
          <t>YM2610204229</t>
        </is>
      </c>
      <c r="B188" s="114" t="n">
        <v>46308</v>
      </c>
      <c r="C188" s="9" t="inlineStr">
        <is>
          <t>Rest of India</t>
        </is>
      </c>
      <c r="D188" s="9" t="inlineStr">
        <is>
          <t>AHM-2</t>
        </is>
      </c>
      <c r="E188" s="9" t="inlineStr">
        <is>
          <t>P-23778</t>
        </is>
      </c>
      <c r="F188" s="9" t="inlineStr">
        <is>
          <t>Hair care</t>
        </is>
      </c>
      <c r="G188" s="9" t="inlineStr">
        <is>
          <t>14–17</t>
        </is>
      </c>
      <c r="H188" s="9" t="inlineStr">
        <is>
          <t>Completed</t>
        </is>
      </c>
      <c r="I188" s="9" t="inlineStr">
        <is>
          <t>Y</t>
        </is>
      </c>
      <c r="J188" s="9" t="n">
        <v>4</v>
      </c>
      <c r="K188" s="9" t="inlineStr">
        <is>
          <t>N</t>
        </is>
      </c>
      <c r="L188" s="9" t="n"/>
      <c r="M188" s="116">
        <f>--(COUNTIF($A$2:A188,A188)=1)</f>
        <v>1</v>
      </c>
    </row>
    <row r="189">
      <c r="A189" s="9" t="inlineStr">
        <is>
          <t>YM2610214785</t>
        </is>
      </c>
      <c r="B189" s="114" t="n">
        <v>46307</v>
      </c>
      <c r="C189" s="9" t="inlineStr">
        <is>
          <t>Rest of India</t>
        </is>
      </c>
      <c r="D189" s="9" t="inlineStr">
        <is>
          <t>AHM-2</t>
        </is>
      </c>
      <c r="E189" s="9" t="inlineStr">
        <is>
          <t>P-28495</t>
        </is>
      </c>
      <c r="F189" s="9" t="inlineStr">
        <is>
          <t>Threading &amp; de-tan</t>
        </is>
      </c>
      <c r="G189" s="9" t="inlineStr">
        <is>
          <t>11–14</t>
        </is>
      </c>
      <c r="H189" s="9" t="inlineStr">
        <is>
          <t>Completed</t>
        </is>
      </c>
      <c r="I189" s="9" t="inlineStr">
        <is>
          <t>N</t>
        </is>
      </c>
      <c r="J189" s="9" t="n"/>
      <c r="K189" s="9" t="inlineStr">
        <is>
          <t>N</t>
        </is>
      </c>
      <c r="L189" s="9" t="n"/>
      <c r="M189" s="116">
        <f>--(COUNTIF($A$2:A189,A189)=1)</f>
        <v>1</v>
      </c>
    </row>
    <row r="190">
      <c r="A190" s="9" t="inlineStr">
        <is>
          <t>YM2610167323</t>
        </is>
      </c>
      <c r="B190" s="114" t="n">
        <v>46307</v>
      </c>
      <c r="C190" s="9" t="inlineStr">
        <is>
          <t>Rest of India</t>
        </is>
      </c>
      <c r="D190" s="9" t="inlineStr">
        <is>
          <t>LKO-1</t>
        </is>
      </c>
      <c r="E190" s="9" t="n"/>
      <c r="F190" s="9" t="inlineStr">
        <is>
          <t>Threading &amp; de-tan</t>
        </is>
      </c>
      <c r="G190" s="9" t="inlineStr">
        <is>
          <t>14–17</t>
        </is>
      </c>
      <c r="H190" s="9" t="inlineStr">
        <is>
          <t>Unassigned</t>
        </is>
      </c>
      <c r="I190" s="9" t="n"/>
      <c r="J190" s="9" t="n"/>
      <c r="K190" s="9" t="n"/>
      <c r="L190" s="9" t="n"/>
      <c r="M190" s="116">
        <f>--(COUNTIF($A$2:A190,A190)=1)</f>
        <v>1</v>
      </c>
    </row>
    <row r="191">
      <c r="A191" s="9" t="inlineStr">
        <is>
          <t>YM2610208705</t>
        </is>
      </c>
      <c r="B191" s="114" t="n">
        <v>46307</v>
      </c>
      <c r="C191" s="9" t="inlineStr">
        <is>
          <t>Hyderabad</t>
        </is>
      </c>
      <c r="D191" s="9" t="inlineStr">
        <is>
          <t>HYD-2</t>
        </is>
      </c>
      <c r="E191" s="9" t="inlineStr">
        <is>
          <t>P-17388</t>
        </is>
      </c>
      <c r="F191" s="9" t="inlineStr">
        <is>
          <t>Waxing</t>
        </is>
      </c>
      <c r="G191" s="9" t="inlineStr">
        <is>
          <t>8–11</t>
        </is>
      </c>
      <c r="H191" s="9" t="inlineStr">
        <is>
          <t>Completed</t>
        </is>
      </c>
      <c r="I191" s="9" t="inlineStr">
        <is>
          <t>N</t>
        </is>
      </c>
      <c r="J191" s="9" t="n">
        <v>5</v>
      </c>
      <c r="K191" s="9" t="inlineStr">
        <is>
          <t>N</t>
        </is>
      </c>
      <c r="L191" s="9" t="n"/>
      <c r="M191" s="116">
        <f>--(COUNTIF($A$2:A191,A191)=1)</f>
        <v>1</v>
      </c>
    </row>
    <row r="192">
      <c r="A192" s="9" t="inlineStr">
        <is>
          <t>YM2610126277</t>
        </is>
      </c>
      <c r="B192" s="114" t="n">
        <v>46312</v>
      </c>
      <c r="C192" s="9" t="inlineStr">
        <is>
          <t>Rest of India</t>
        </is>
      </c>
      <c r="D192" s="9" t="inlineStr">
        <is>
          <t>JAI-1</t>
        </is>
      </c>
      <c r="E192" s="9" t="n"/>
      <c r="F192" s="9" t="inlineStr">
        <is>
          <t>Threading &amp; de-tan</t>
        </is>
      </c>
      <c r="G192" s="9" t="inlineStr">
        <is>
          <t>17–20</t>
        </is>
      </c>
      <c r="H192" s="9" t="inlineStr">
        <is>
          <t>Unassigned</t>
        </is>
      </c>
      <c r="I192" s="9" t="n"/>
      <c r="J192" s="9" t="n"/>
      <c r="K192" s="9" t="n"/>
      <c r="L192" s="9" t="n"/>
      <c r="M192" s="116">
        <f>--(COUNTIF($A$2:A192,A192)=1)</f>
        <v>1</v>
      </c>
    </row>
    <row r="193">
      <c r="A193" s="9" t="inlineStr">
        <is>
          <t>YM2610125689</t>
        </is>
      </c>
      <c r="B193" s="114" t="n">
        <v>46313</v>
      </c>
      <c r="C193" s="9" t="inlineStr">
        <is>
          <t>Bengaluru</t>
        </is>
      </c>
      <c r="D193" s="9" t="inlineStr">
        <is>
          <t>BLR-1</t>
        </is>
      </c>
      <c r="E193" s="9" t="inlineStr">
        <is>
          <t>P-18211</t>
        </is>
      </c>
      <c r="F193" s="9" t="inlineStr">
        <is>
          <t>Waxing</t>
        </is>
      </c>
      <c r="G193" s="9" t="inlineStr">
        <is>
          <t>14–17</t>
        </is>
      </c>
      <c r="H193" s="9" t="inlineStr">
        <is>
          <t>Completed</t>
        </is>
      </c>
      <c r="I193" s="9" t="inlineStr">
        <is>
          <t>Y</t>
        </is>
      </c>
      <c r="J193" s="9" t="n"/>
      <c r="K193" s="9" t="inlineStr">
        <is>
          <t>N</t>
        </is>
      </c>
      <c r="L193" s="9" t="n"/>
      <c r="M193" s="116">
        <f>--(COUNTIF($A$2:A193,A193)=1)</f>
        <v>1</v>
      </c>
    </row>
    <row r="194">
      <c r="A194" s="9" t="inlineStr">
        <is>
          <t>YM2610188342</t>
        </is>
      </c>
      <c r="B194" s="114" t="n">
        <v>46307</v>
      </c>
      <c r="C194" s="9" t="inlineStr">
        <is>
          <t>Delhi</t>
        </is>
      </c>
      <c r="D194" s="9" t="inlineStr">
        <is>
          <t>DEL-2</t>
        </is>
      </c>
      <c r="E194" s="9" t="inlineStr">
        <is>
          <t>P-12768</t>
        </is>
      </c>
      <c r="F194" s="9" t="inlineStr">
        <is>
          <t>Massage &amp; body</t>
        </is>
      </c>
      <c r="G194" s="9" t="inlineStr">
        <is>
          <t>11–14</t>
        </is>
      </c>
      <c r="H194" s="9" t="inlineStr">
        <is>
          <t>Completed</t>
        </is>
      </c>
      <c r="I194" s="9" t="inlineStr">
        <is>
          <t>Y</t>
        </is>
      </c>
      <c r="J194" s="9" t="n">
        <v>4</v>
      </c>
      <c r="K194" s="9" t="inlineStr">
        <is>
          <t>N</t>
        </is>
      </c>
      <c r="L194" s="9" t="n"/>
      <c r="M194" s="116">
        <f>--(COUNTIF($A$2:A194,A194)=1)</f>
        <v>1</v>
      </c>
    </row>
    <row r="195">
      <c r="A195" s="9" t="inlineStr">
        <is>
          <t>YM2610132514</t>
        </is>
      </c>
      <c r="B195" s="114" t="n">
        <v>46308</v>
      </c>
      <c r="C195" s="9" t="inlineStr">
        <is>
          <t>Delhi</t>
        </is>
      </c>
      <c r="D195" s="9" t="inlineStr">
        <is>
          <t>DEL-3</t>
        </is>
      </c>
      <c r="E195" s="9" t="inlineStr">
        <is>
          <t>P-27901</t>
        </is>
      </c>
      <c r="F195" s="9" t="inlineStr">
        <is>
          <t>Facial &amp; clean-up</t>
        </is>
      </c>
      <c r="G195" s="9" t="inlineStr">
        <is>
          <t>11–14</t>
        </is>
      </c>
      <c r="H195" s="9" t="inlineStr">
        <is>
          <t>Completed</t>
        </is>
      </c>
      <c r="I195" s="9" t="inlineStr">
        <is>
          <t>Y</t>
        </is>
      </c>
      <c r="J195" s="9" t="n">
        <v>5</v>
      </c>
      <c r="K195" s="9" t="inlineStr">
        <is>
          <t>N</t>
        </is>
      </c>
      <c r="L195" s="9" t="n"/>
      <c r="M195" s="116">
        <f>--(COUNTIF($A$2:A195,A195)=1)</f>
        <v>1</v>
      </c>
    </row>
    <row r="196">
      <c r="A196" s="9" t="inlineStr">
        <is>
          <t>YM2610160806</t>
        </is>
      </c>
      <c r="B196" s="114" t="n">
        <v>46310</v>
      </c>
      <c r="C196" s="9" t="inlineStr">
        <is>
          <t>Gurugram</t>
        </is>
      </c>
      <c r="D196" s="9" t="inlineStr">
        <is>
          <t>GGN-4</t>
        </is>
      </c>
      <c r="E196" s="9" t="inlineStr">
        <is>
          <t>P-25658</t>
        </is>
      </c>
      <c r="F196" s="9" t="inlineStr">
        <is>
          <t>Massage &amp; body</t>
        </is>
      </c>
      <c r="G196" s="9" t="inlineStr">
        <is>
          <t>14–17</t>
        </is>
      </c>
      <c r="H196" s="9" t="inlineStr">
        <is>
          <t>Completed</t>
        </is>
      </c>
      <c r="I196" s="9" t="inlineStr">
        <is>
          <t>Y</t>
        </is>
      </c>
      <c r="J196" s="9" t="n"/>
      <c r="K196" s="9" t="inlineStr">
        <is>
          <t>N</t>
        </is>
      </c>
      <c r="L196" s="9" t="n"/>
      <c r="M196" s="116">
        <f>--(COUNTIF($A$2:A196,A196)=1)</f>
        <v>1</v>
      </c>
    </row>
    <row r="197">
      <c r="A197" s="9" t="inlineStr">
        <is>
          <t>YM2610152266</t>
        </is>
      </c>
      <c r="B197" s="114" t="n">
        <v>46311</v>
      </c>
      <c r="C197" s="9" t="inlineStr">
        <is>
          <t>Gurugram</t>
        </is>
      </c>
      <c r="D197" s="9" t="inlineStr">
        <is>
          <t>GGN-2</t>
        </is>
      </c>
      <c r="E197" s="9" t="inlineStr">
        <is>
          <t>P-28240</t>
        </is>
      </c>
      <c r="F197" s="9" t="inlineStr">
        <is>
          <t>Facial &amp; clean-up</t>
        </is>
      </c>
      <c r="G197" s="9" t="inlineStr">
        <is>
          <t>11–14</t>
        </is>
      </c>
      <c r="H197" s="9" t="inlineStr">
        <is>
          <t>Completed</t>
        </is>
      </c>
      <c r="I197" s="9" t="inlineStr">
        <is>
          <t>Y</t>
        </is>
      </c>
      <c r="J197" s="9" t="n">
        <v>5</v>
      </c>
      <c r="K197" s="9" t="inlineStr">
        <is>
          <t>N</t>
        </is>
      </c>
      <c r="L197" s="9" t="n"/>
      <c r="M197" s="116">
        <f>--(COUNTIF($A$2:A197,A197)=1)</f>
        <v>1</v>
      </c>
    </row>
    <row r="198">
      <c r="A198" s="9" t="inlineStr">
        <is>
          <t>YM2610207208</t>
        </is>
      </c>
      <c r="B198" s="114" t="n">
        <v>46307</v>
      </c>
      <c r="C198" s="9" t="inlineStr">
        <is>
          <t>Gurugram</t>
        </is>
      </c>
      <c r="D198" s="9" t="inlineStr">
        <is>
          <t>GGN-1</t>
        </is>
      </c>
      <c r="E198" s="9" t="inlineStr">
        <is>
          <t>P-26940</t>
        </is>
      </c>
      <c r="F198" s="9" t="inlineStr">
        <is>
          <t>Facial &amp; clean-up</t>
        </is>
      </c>
      <c r="G198" s="9" t="inlineStr">
        <is>
          <t>8–11</t>
        </is>
      </c>
      <c r="H198" s="9" t="inlineStr">
        <is>
          <t>Completed</t>
        </is>
      </c>
      <c r="I198" s="9" t="inlineStr">
        <is>
          <t>Y</t>
        </is>
      </c>
      <c r="J198" s="9" t="n">
        <v>5</v>
      </c>
      <c r="K198" s="9" t="inlineStr">
        <is>
          <t>N</t>
        </is>
      </c>
      <c r="L198" s="9" t="n"/>
      <c r="M198" s="116">
        <f>--(COUNTIF($A$2:A198,A198)=1)</f>
        <v>1</v>
      </c>
    </row>
    <row r="199">
      <c r="A199" s="9" t="inlineStr">
        <is>
          <t>YM2610167196</t>
        </is>
      </c>
      <c r="B199" s="114" t="n">
        <v>46308</v>
      </c>
      <c r="C199" s="9" t="inlineStr">
        <is>
          <t>Delhi</t>
        </is>
      </c>
      <c r="D199" s="9" t="inlineStr">
        <is>
          <t>DEL-1</t>
        </is>
      </c>
      <c r="E199" s="9" t="inlineStr">
        <is>
          <t>P-16635</t>
        </is>
      </c>
      <c r="F199" s="9" t="inlineStr">
        <is>
          <t>Hair care</t>
        </is>
      </c>
      <c r="G199" s="9" t="inlineStr">
        <is>
          <t>20–22</t>
        </is>
      </c>
      <c r="H199" s="9" t="inlineStr">
        <is>
          <t>Completed</t>
        </is>
      </c>
      <c r="I199" s="9" t="inlineStr">
        <is>
          <t>Y</t>
        </is>
      </c>
      <c r="J199" s="9" t="n">
        <v>5</v>
      </c>
      <c r="K199" s="9" t="inlineStr">
        <is>
          <t>N</t>
        </is>
      </c>
      <c r="L199" s="9" t="n"/>
      <c r="M199" s="116">
        <f>--(COUNTIF($A$2:A199,A199)=1)</f>
        <v>1</v>
      </c>
    </row>
    <row r="200">
      <c r="A200" s="9" t="inlineStr">
        <is>
          <t>YM2610213871</t>
        </is>
      </c>
      <c r="B200" s="114" t="n">
        <v>46312</v>
      </c>
      <c r="C200" s="9" t="inlineStr">
        <is>
          <t>Mumbai</t>
        </is>
      </c>
      <c r="D200" s="9" t="inlineStr">
        <is>
          <t>MUM-5</t>
        </is>
      </c>
      <c r="E200" s="9" t="inlineStr">
        <is>
          <t>P-14170</t>
        </is>
      </c>
      <c r="F200" s="9" t="inlineStr">
        <is>
          <t>Facial &amp; clean-up</t>
        </is>
      </c>
      <c r="G200" s="9" t="inlineStr">
        <is>
          <t>17–20</t>
        </is>
      </c>
      <c r="H200" s="9" t="inlineStr">
        <is>
          <t>Completed</t>
        </is>
      </c>
      <c r="I200" s="9" t="inlineStr">
        <is>
          <t>Y</t>
        </is>
      </c>
      <c r="J200" s="9" t="n">
        <v>4</v>
      </c>
      <c r="K200" s="9" t="inlineStr">
        <is>
          <t>N</t>
        </is>
      </c>
      <c r="L200" s="9" t="n"/>
      <c r="M200" s="116">
        <f>--(COUNTIF($A$2:A200,A200)=1)</f>
        <v>1</v>
      </c>
    </row>
    <row r="201">
      <c r="A201" s="9" t="inlineStr">
        <is>
          <t>YM2610140612</t>
        </is>
      </c>
      <c r="B201" s="114" t="n">
        <v>46307</v>
      </c>
      <c r="C201" s="9" t="inlineStr">
        <is>
          <t>Bengaluru</t>
        </is>
      </c>
      <c r="D201" s="9" t="inlineStr">
        <is>
          <t>BLR-3</t>
        </is>
      </c>
      <c r="E201" s="9" t="inlineStr">
        <is>
          <t>P-19152</t>
        </is>
      </c>
      <c r="F201" s="9" t="inlineStr">
        <is>
          <t>Threading &amp; de-tan</t>
        </is>
      </c>
      <c r="G201" s="9" t="inlineStr">
        <is>
          <t>11–14</t>
        </is>
      </c>
      <c r="H201" s="9" t="inlineStr">
        <is>
          <t>Cancelled – partner</t>
        </is>
      </c>
      <c r="I201" s="9" t="n"/>
      <c r="J201" s="9" t="n"/>
      <c r="K201" s="9" t="n"/>
      <c r="L201" s="9" t="n"/>
      <c r="M201" s="116">
        <f>--(COUNTIF($A$2:A201,A201)=1)</f>
        <v>1</v>
      </c>
    </row>
    <row r="202">
      <c r="A202" s="9" t="inlineStr">
        <is>
          <t>YM2610159393</t>
        </is>
      </c>
      <c r="B202" s="114" t="n">
        <v>46310</v>
      </c>
      <c r="C202" s="9" t="inlineStr">
        <is>
          <t>Bengaluru</t>
        </is>
      </c>
      <c r="D202" s="9" t="inlineStr">
        <is>
          <t>BLR-3</t>
        </is>
      </c>
      <c r="E202" s="9" t="inlineStr">
        <is>
          <t>P-22801</t>
        </is>
      </c>
      <c r="F202" s="9" t="inlineStr">
        <is>
          <t>Massage &amp; body</t>
        </is>
      </c>
      <c r="G202" s="9" t="inlineStr">
        <is>
          <t>14–17</t>
        </is>
      </c>
      <c r="H202" s="9" t="inlineStr">
        <is>
          <t>Completed</t>
        </is>
      </c>
      <c r="I202" s="9" t="inlineStr">
        <is>
          <t>Y</t>
        </is>
      </c>
      <c r="J202" s="9" t="n"/>
      <c r="K202" s="9" t="inlineStr">
        <is>
          <t>N</t>
        </is>
      </c>
      <c r="L202" s="9" t="n"/>
      <c r="M202" s="116">
        <f>--(COUNTIF($A$2:A202,A202)=1)</f>
        <v>1</v>
      </c>
    </row>
    <row r="203">
      <c r="A203" s="9" t="inlineStr">
        <is>
          <t>YM2610140004</t>
        </is>
      </c>
      <c r="B203" s="114" t="n">
        <v>46312</v>
      </c>
      <c r="C203" s="9" t="inlineStr">
        <is>
          <t>Delhi</t>
        </is>
      </c>
      <c r="D203" s="9" t="inlineStr">
        <is>
          <t>DEL-2</t>
        </is>
      </c>
      <c r="E203" s="9" t="inlineStr">
        <is>
          <t>P-28855</t>
        </is>
      </c>
      <c r="F203" s="9" t="inlineStr">
        <is>
          <t>Facial &amp; clean-up</t>
        </is>
      </c>
      <c r="G203" s="9" t="inlineStr">
        <is>
          <t>20–22</t>
        </is>
      </c>
      <c r="H203" s="9" t="inlineStr">
        <is>
          <t>Completed</t>
        </is>
      </c>
      <c r="I203" s="9" t="inlineStr">
        <is>
          <t>Y</t>
        </is>
      </c>
      <c r="J203" s="9" t="n">
        <v>5</v>
      </c>
      <c r="K203" s="9" t="inlineStr">
        <is>
          <t>N</t>
        </is>
      </c>
      <c r="L203" s="9" t="n"/>
      <c r="M203" s="116">
        <f>--(COUNTIF($A$2:A203,A203)=1)</f>
        <v>1</v>
      </c>
    </row>
    <row r="204">
      <c r="A204" s="9" t="inlineStr">
        <is>
          <t>YM2610122401</t>
        </is>
      </c>
      <c r="B204" s="114" t="n">
        <v>46313</v>
      </c>
      <c r="C204" s="9" t="inlineStr">
        <is>
          <t>Noida &amp; Ghaziabad</t>
        </is>
      </c>
      <c r="D204" s="9" t="inlineStr">
        <is>
          <t>NOI-1</t>
        </is>
      </c>
      <c r="E204" s="9" t="inlineStr">
        <is>
          <t>P-11554</t>
        </is>
      </c>
      <c r="F204" s="9" t="inlineStr">
        <is>
          <t>Facial &amp; clean-up</t>
        </is>
      </c>
      <c r="G204" s="9" t="inlineStr">
        <is>
          <t>14–17</t>
        </is>
      </c>
      <c r="H204" s="9" t="inlineStr">
        <is>
          <t>Completed</t>
        </is>
      </c>
      <c r="I204" s="9" t="inlineStr">
        <is>
          <t>N</t>
        </is>
      </c>
      <c r="J204" s="9" t="n">
        <v>3</v>
      </c>
      <c r="K204" s="9" t="inlineStr">
        <is>
          <t>N</t>
        </is>
      </c>
      <c r="L204" s="9" t="n"/>
      <c r="M204" s="116">
        <f>--(COUNTIF($A$2:A204,A204)=1)</f>
        <v>1</v>
      </c>
    </row>
    <row r="205">
      <c r="A205" s="9" t="inlineStr">
        <is>
          <t>YM2610216304</t>
        </is>
      </c>
      <c r="B205" s="114" t="n">
        <v>46309</v>
      </c>
      <c r="C205" s="9" t="inlineStr">
        <is>
          <t>Mumbai</t>
        </is>
      </c>
      <c r="D205" s="9" t="inlineStr">
        <is>
          <t>MUM-5</t>
        </is>
      </c>
      <c r="E205" s="9" t="inlineStr">
        <is>
          <t>P-24092</t>
        </is>
      </c>
      <c r="F205" s="9" t="inlineStr">
        <is>
          <t>Facial &amp; clean-up</t>
        </is>
      </c>
      <c r="G205" s="9" t="inlineStr">
        <is>
          <t>14–17</t>
        </is>
      </c>
      <c r="H205" s="9" t="inlineStr">
        <is>
          <t>Completed</t>
        </is>
      </c>
      <c r="I205" s="9" t="inlineStr">
        <is>
          <t>Y</t>
        </is>
      </c>
      <c r="J205" s="9" t="n"/>
      <c r="K205" s="9" t="inlineStr">
        <is>
          <t>N</t>
        </is>
      </c>
      <c r="L205" s="9" t="inlineStr">
        <is>
          <t>Rescheduled</t>
        </is>
      </c>
      <c r="M205" s="116">
        <f>--(COUNTIF($A$2:A205,A205)=1)</f>
        <v>1</v>
      </c>
    </row>
    <row r="206">
      <c r="A206" s="9" t="inlineStr">
        <is>
          <t>YM2610173545</t>
        </is>
      </c>
      <c r="B206" s="114" t="n">
        <v>46313</v>
      </c>
      <c r="C206" s="9" t="inlineStr">
        <is>
          <t>Noida &amp; Ghaziabad</t>
        </is>
      </c>
      <c r="D206" s="9" t="inlineStr">
        <is>
          <t>GZB-1</t>
        </is>
      </c>
      <c r="E206" s="9" t="inlineStr">
        <is>
          <t>P-28393</t>
        </is>
      </c>
      <c r="F206" s="9" t="inlineStr">
        <is>
          <t>Laser &amp; Hydra</t>
        </is>
      </c>
      <c r="G206" s="9" t="inlineStr">
        <is>
          <t>17–20</t>
        </is>
      </c>
      <c r="H206" s="9" t="inlineStr">
        <is>
          <t>Completed</t>
        </is>
      </c>
      <c r="I206" s="9" t="inlineStr">
        <is>
          <t>Y</t>
        </is>
      </c>
      <c r="J206" s="9" t="n">
        <v>5</v>
      </c>
      <c r="K206" s="9" t="inlineStr">
        <is>
          <t>N</t>
        </is>
      </c>
      <c r="L206" s="9" t="n"/>
      <c r="M206" s="116">
        <f>--(COUNTIF($A$2:A206,A206)=1)</f>
        <v>1</v>
      </c>
    </row>
    <row r="207">
      <c r="A207" s="9" t="inlineStr">
        <is>
          <t>YM2610197992</t>
        </is>
      </c>
      <c r="B207" s="114" t="n">
        <v>46310</v>
      </c>
      <c r="C207" s="9" t="inlineStr">
        <is>
          <t>Mumbai</t>
        </is>
      </c>
      <c r="D207" s="9" t="inlineStr">
        <is>
          <t>MUM-4</t>
        </is>
      </c>
      <c r="E207" s="9" t="n"/>
      <c r="F207" s="9" t="inlineStr">
        <is>
          <t>Mani-pedi</t>
        </is>
      </c>
      <c r="G207" s="9" t="inlineStr">
        <is>
          <t>17–20</t>
        </is>
      </c>
      <c r="H207" s="9" t="inlineStr">
        <is>
          <t>Unassigned</t>
        </is>
      </c>
      <c r="I207" s="9" t="n"/>
      <c r="J207" s="9" t="n"/>
      <c r="K207" s="9" t="n"/>
      <c r="L207" s="9" t="n"/>
      <c r="M207" s="116">
        <f>--(COUNTIF($A$2:A207,A207)=1)</f>
        <v>1</v>
      </c>
    </row>
    <row r="208">
      <c r="A208" s="9" t="inlineStr">
        <is>
          <t>YM2610144014</t>
        </is>
      </c>
      <c r="B208" s="114" t="n">
        <v>46307</v>
      </c>
      <c r="C208" s="9" t="inlineStr">
        <is>
          <t>Pune</t>
        </is>
      </c>
      <c r="D208" s="9" t="inlineStr">
        <is>
          <t>PUN-1</t>
        </is>
      </c>
      <c r="E208" s="9" t="inlineStr">
        <is>
          <t>P-19663</t>
        </is>
      </c>
      <c r="F208" s="9" t="inlineStr">
        <is>
          <t>Mani-pedi</t>
        </is>
      </c>
      <c r="G208" s="9" t="inlineStr">
        <is>
          <t>11–14</t>
        </is>
      </c>
      <c r="H208" s="9" t="inlineStr">
        <is>
          <t>Completed</t>
        </is>
      </c>
      <c r="I208" s="9" t="inlineStr">
        <is>
          <t>Y</t>
        </is>
      </c>
      <c r="J208" s="9" t="n">
        <v>5</v>
      </c>
      <c r="K208" s="9" t="inlineStr">
        <is>
          <t>N</t>
        </is>
      </c>
      <c r="L208" s="9" t="n"/>
      <c r="M208" s="116">
        <f>--(COUNTIF($A$2:A208,A208)=1)</f>
        <v>1</v>
      </c>
    </row>
    <row r="209">
      <c r="A209" s="9" t="inlineStr">
        <is>
          <t>YM2610145655</t>
        </is>
      </c>
      <c r="B209" s="114" t="n">
        <v>46310</v>
      </c>
      <c r="C209" s="9" t="inlineStr">
        <is>
          <t>Rest of India</t>
        </is>
      </c>
      <c r="D209" s="9" t="inlineStr">
        <is>
          <t>AHM-2</t>
        </is>
      </c>
      <c r="E209" s="9" t="inlineStr">
        <is>
          <t>P-15977</t>
        </is>
      </c>
      <c r="F209" s="9" t="inlineStr">
        <is>
          <t>Waxing</t>
        </is>
      </c>
      <c r="G209" s="9" t="inlineStr">
        <is>
          <t>8–11</t>
        </is>
      </c>
      <c r="H209" s="9" t="inlineStr">
        <is>
          <t>Completed</t>
        </is>
      </c>
      <c r="I209" s="9" t="inlineStr">
        <is>
          <t>Y</t>
        </is>
      </c>
      <c r="J209" s="9" t="n">
        <v>5</v>
      </c>
      <c r="K209" s="9" t="inlineStr">
        <is>
          <t>N</t>
        </is>
      </c>
      <c r="L209" s="9" t="n"/>
      <c r="M209" s="116">
        <f>--(COUNTIF($A$2:A209,A209)=1)</f>
        <v>1</v>
      </c>
    </row>
    <row r="210">
      <c r="A210" s="9" t="inlineStr">
        <is>
          <t>YM2610214144</t>
        </is>
      </c>
      <c r="B210" s="114" t="n">
        <v>46312</v>
      </c>
      <c r="C210" s="9" t="inlineStr">
        <is>
          <t>Bengaluru</t>
        </is>
      </c>
      <c r="D210" s="9" t="inlineStr">
        <is>
          <t>BLR-1</t>
        </is>
      </c>
      <c r="E210" s="9" t="inlineStr">
        <is>
          <t>P-19976</t>
        </is>
      </c>
      <c r="F210" s="9" t="inlineStr">
        <is>
          <t>Facial &amp; clean-up</t>
        </is>
      </c>
      <c r="G210" s="9" t="inlineStr">
        <is>
          <t>17–20</t>
        </is>
      </c>
      <c r="H210" s="9" t="inlineStr">
        <is>
          <t>Completed</t>
        </is>
      </c>
      <c r="I210" s="9" t="inlineStr">
        <is>
          <t>Y</t>
        </is>
      </c>
      <c r="J210" s="9" t="n">
        <v>5</v>
      </c>
      <c r="K210" s="9" t="inlineStr">
        <is>
          <t>N</t>
        </is>
      </c>
      <c r="L210" s="9" t="n"/>
      <c r="M210" s="116">
        <f>--(COUNTIF($A$2:A210,A210)=1)</f>
        <v>1</v>
      </c>
    </row>
    <row r="211">
      <c r="A211" s="9" t="inlineStr">
        <is>
          <t>YM2610190663</t>
        </is>
      </c>
      <c r="B211" s="114" t="n">
        <v>46308</v>
      </c>
      <c r="C211" s="9" t="inlineStr">
        <is>
          <t>Delhi</t>
        </is>
      </c>
      <c r="D211" s="9" t="inlineStr">
        <is>
          <t>DEL-3</t>
        </is>
      </c>
      <c r="E211" s="9" t="inlineStr">
        <is>
          <t>P-14709</t>
        </is>
      </c>
      <c r="F211" s="9" t="inlineStr">
        <is>
          <t>Hair care</t>
        </is>
      </c>
      <c r="G211" s="9" t="inlineStr">
        <is>
          <t>17–20</t>
        </is>
      </c>
      <c r="H211" s="9" t="inlineStr">
        <is>
          <t>Completed</t>
        </is>
      </c>
      <c r="I211" s="9" t="inlineStr">
        <is>
          <t>Y</t>
        </is>
      </c>
      <c r="J211" s="9" t="n"/>
      <c r="K211" s="9" t="inlineStr">
        <is>
          <t>N</t>
        </is>
      </c>
      <c r="L211" s="9" t="n"/>
      <c r="M211" s="116">
        <f>--(COUNTIF($A$2:A211,A211)=1)</f>
        <v>1</v>
      </c>
    </row>
    <row r="212">
      <c r="A212" s="9" t="inlineStr">
        <is>
          <t>YM2610182278</t>
        </is>
      </c>
      <c r="B212" s="114" t="n">
        <v>46312</v>
      </c>
      <c r="C212" s="9" t="inlineStr">
        <is>
          <t>Delhi</t>
        </is>
      </c>
      <c r="D212" s="9" t="inlineStr">
        <is>
          <t>DEL-3</t>
        </is>
      </c>
      <c r="E212" s="9" t="inlineStr">
        <is>
          <t>P-24110</t>
        </is>
      </c>
      <c r="F212" s="9" t="inlineStr">
        <is>
          <t>Threading &amp; de-tan</t>
        </is>
      </c>
      <c r="G212" s="9" t="inlineStr">
        <is>
          <t>8–11</t>
        </is>
      </c>
      <c r="H212" s="9" t="inlineStr">
        <is>
          <t>Completed</t>
        </is>
      </c>
      <c r="I212" s="9" t="inlineStr">
        <is>
          <t>Y</t>
        </is>
      </c>
      <c r="J212" s="9" t="n">
        <v>5</v>
      </c>
      <c r="K212" s="9" t="inlineStr">
        <is>
          <t>N</t>
        </is>
      </c>
      <c r="L212" s="9" t="n"/>
      <c r="M212" s="116">
        <f>--(COUNTIF($A$2:A212,A212)=1)</f>
        <v>1</v>
      </c>
    </row>
    <row r="213">
      <c r="A213" s="9" t="inlineStr">
        <is>
          <t>YM2610134035</t>
        </is>
      </c>
      <c r="B213" s="114" t="n">
        <v>46309</v>
      </c>
      <c r="C213" s="9" t="inlineStr">
        <is>
          <t>Pune</t>
        </is>
      </c>
      <c r="D213" s="9" t="inlineStr">
        <is>
          <t>PUN-1</t>
        </is>
      </c>
      <c r="E213" s="9" t="inlineStr">
        <is>
          <t>P-21432</t>
        </is>
      </c>
      <c r="F213" s="9" t="inlineStr">
        <is>
          <t>Waxing</t>
        </is>
      </c>
      <c r="G213" s="9" t="inlineStr">
        <is>
          <t>17–20</t>
        </is>
      </c>
      <c r="H213" s="9" t="inlineStr">
        <is>
          <t>Completed</t>
        </is>
      </c>
      <c r="I213" s="9" t="inlineStr">
        <is>
          <t>Y</t>
        </is>
      </c>
      <c r="J213" s="9" t="n">
        <v>5</v>
      </c>
      <c r="K213" s="9" t="inlineStr">
        <is>
          <t>N</t>
        </is>
      </c>
      <c r="L213" s="9" t="n"/>
      <c r="M213" s="116">
        <f>--(COUNTIF($A$2:A213,A213)=1)</f>
        <v>1</v>
      </c>
    </row>
    <row r="214">
      <c r="A214" s="9" t="inlineStr">
        <is>
          <t>YM2610150215</t>
        </is>
      </c>
      <c r="B214" s="114" t="n">
        <v>46310</v>
      </c>
      <c r="C214" s="9" t="inlineStr">
        <is>
          <t>Gurugram</t>
        </is>
      </c>
      <c r="D214" s="9" t="inlineStr">
        <is>
          <t>GGN-1</t>
        </is>
      </c>
      <c r="E214" s="9" t="inlineStr">
        <is>
          <t>P-15223</t>
        </is>
      </c>
      <c r="F214" s="9" t="inlineStr">
        <is>
          <t>Laser &amp; Hydra</t>
        </is>
      </c>
      <c r="G214" s="9" t="inlineStr">
        <is>
          <t>17–20</t>
        </is>
      </c>
      <c r="H214" s="9" t="inlineStr">
        <is>
          <t>Completed</t>
        </is>
      </c>
      <c r="I214" s="9" t="inlineStr">
        <is>
          <t>Y</t>
        </is>
      </c>
      <c r="J214" s="9" t="n">
        <v>5</v>
      </c>
      <c r="K214" s="9" t="inlineStr">
        <is>
          <t>N</t>
        </is>
      </c>
      <c r="L214" s="9" t="n"/>
      <c r="M214" s="116">
        <f>--(COUNTIF($A$2:A214,A214)=1)</f>
        <v>1</v>
      </c>
    </row>
    <row r="215">
      <c r="A215" s="9" t="inlineStr">
        <is>
          <t>YM2610185952</t>
        </is>
      </c>
      <c r="B215" s="114" t="n">
        <v>46313</v>
      </c>
      <c r="C215" s="9" t="inlineStr">
        <is>
          <t>Rest of India</t>
        </is>
      </c>
      <c r="D215" s="9" t="inlineStr">
        <is>
          <t>JAI-1</t>
        </is>
      </c>
      <c r="E215" s="9" t="inlineStr">
        <is>
          <t>P-17960</t>
        </is>
      </c>
      <c r="F215" s="9" t="inlineStr">
        <is>
          <t>Mani-pedi</t>
        </is>
      </c>
      <c r="G215" s="9" t="inlineStr">
        <is>
          <t>11–14</t>
        </is>
      </c>
      <c r="H215" s="9" t="inlineStr">
        <is>
          <t>Completed</t>
        </is>
      </c>
      <c r="I215" s="9" t="inlineStr">
        <is>
          <t>Y</t>
        </is>
      </c>
      <c r="J215" s="9" t="n"/>
      <c r="K215" s="9" t="inlineStr">
        <is>
          <t>N</t>
        </is>
      </c>
      <c r="L215" s="9" t="n"/>
      <c r="M215" s="116">
        <f>--(COUNTIF($A$2:A215,A215)=1)</f>
        <v>1</v>
      </c>
    </row>
    <row r="216">
      <c r="A216" s="9" t="inlineStr">
        <is>
          <t>YM2610132464</t>
        </is>
      </c>
      <c r="B216" s="114" t="n">
        <v>46310</v>
      </c>
      <c r="C216" s="9" t="inlineStr">
        <is>
          <t>Mumbai</t>
        </is>
      </c>
      <c r="D216" s="9" t="inlineStr">
        <is>
          <t>MUM-2</t>
        </is>
      </c>
      <c r="E216" s="9" t="inlineStr">
        <is>
          <t>P-15568</t>
        </is>
      </c>
      <c r="F216" s="9" t="inlineStr">
        <is>
          <t>Facial &amp; clean-up</t>
        </is>
      </c>
      <c r="G216" s="9" t="inlineStr">
        <is>
          <t>17–20</t>
        </is>
      </c>
      <c r="H216" s="9" t="inlineStr">
        <is>
          <t>Completed</t>
        </is>
      </c>
      <c r="I216" s="9" t="inlineStr">
        <is>
          <t>Y</t>
        </is>
      </c>
      <c r="J216" s="9" t="n"/>
      <c r="K216" s="9" t="inlineStr">
        <is>
          <t>N</t>
        </is>
      </c>
      <c r="L216" s="9" t="n"/>
      <c r="M216" s="116">
        <f>--(COUNTIF($A$2:A216,A216)=1)</f>
        <v>1</v>
      </c>
    </row>
    <row r="217">
      <c r="A217" s="9" t="inlineStr">
        <is>
          <t>YM2610129578</t>
        </is>
      </c>
      <c r="B217" s="114" t="n">
        <v>46311</v>
      </c>
      <c r="C217" s="9" t="inlineStr">
        <is>
          <t>Noida &amp; Ghaziabad</t>
        </is>
      </c>
      <c r="D217" s="9" t="inlineStr">
        <is>
          <t>NOI-1</t>
        </is>
      </c>
      <c r="E217" s="9" t="inlineStr">
        <is>
          <t>P-23837</t>
        </is>
      </c>
      <c r="F217" s="9" t="inlineStr">
        <is>
          <t>Threading &amp; de-tan</t>
        </is>
      </c>
      <c r="G217" s="9" t="inlineStr">
        <is>
          <t>8–11</t>
        </is>
      </c>
      <c r="H217" s="9" t="inlineStr">
        <is>
          <t>Completed</t>
        </is>
      </c>
      <c r="I217" s="9" t="inlineStr">
        <is>
          <t>Y</t>
        </is>
      </c>
      <c r="J217" s="9" t="n">
        <v>5</v>
      </c>
      <c r="K217" s="9" t="inlineStr">
        <is>
          <t>N</t>
        </is>
      </c>
      <c r="L217" s="9" t="n"/>
      <c r="M217" s="116">
        <f>--(COUNTIF($A$2:A217,A217)=1)</f>
        <v>1</v>
      </c>
    </row>
    <row r="218">
      <c r="A218" s="9" t="inlineStr">
        <is>
          <t>YM2610165750</t>
        </is>
      </c>
      <c r="B218" s="114" t="n">
        <v>46309</v>
      </c>
      <c r="C218" s="9" t="inlineStr">
        <is>
          <t>Gurugram</t>
        </is>
      </c>
      <c r="D218" s="9" t="inlineStr">
        <is>
          <t>GGN-1</t>
        </is>
      </c>
      <c r="E218" s="9" t="inlineStr">
        <is>
          <t>P-17923</t>
        </is>
      </c>
      <c r="F218" s="9" t="inlineStr">
        <is>
          <t>Mani-pedi</t>
        </is>
      </c>
      <c r="G218" s="9" t="inlineStr">
        <is>
          <t>11–14</t>
        </is>
      </c>
      <c r="H218" s="9" t="inlineStr">
        <is>
          <t>Completed</t>
        </is>
      </c>
      <c r="I218" s="9" t="inlineStr">
        <is>
          <t>Y</t>
        </is>
      </c>
      <c r="J218" s="9" t="n"/>
      <c r="K218" s="9" t="inlineStr">
        <is>
          <t>N</t>
        </is>
      </c>
      <c r="L218" s="9" t="n"/>
      <c r="M218" s="116">
        <f>--(COUNTIF($A$2:A218,A218)=1)</f>
        <v>1</v>
      </c>
    </row>
    <row r="219">
      <c r="A219" s="9" t="inlineStr">
        <is>
          <t>YM2610141869</t>
        </is>
      </c>
      <c r="B219" s="114" t="n">
        <v>46308</v>
      </c>
      <c r="C219" s="9" t="inlineStr">
        <is>
          <t>Rest of India</t>
        </is>
      </c>
      <c r="D219" s="9" t="inlineStr">
        <is>
          <t>CHD-1</t>
        </is>
      </c>
      <c r="E219" s="9" t="inlineStr">
        <is>
          <t>P-21564</t>
        </is>
      </c>
      <c r="F219" s="9" t="inlineStr">
        <is>
          <t>Waxing</t>
        </is>
      </c>
      <c r="G219" s="9" t="inlineStr">
        <is>
          <t>14–17</t>
        </is>
      </c>
      <c r="H219" s="9" t="inlineStr">
        <is>
          <t>Completed</t>
        </is>
      </c>
      <c r="I219" s="9" t="inlineStr">
        <is>
          <t>Y</t>
        </is>
      </c>
      <c r="J219" s="9" t="n"/>
      <c r="K219" s="9" t="inlineStr">
        <is>
          <t>N</t>
        </is>
      </c>
      <c r="L219" s="9" t="n"/>
      <c r="M219" s="116">
        <f>--(COUNTIF($A$2:A219,A219)=1)</f>
        <v>1</v>
      </c>
    </row>
    <row r="220">
      <c r="A220" s="9" t="inlineStr">
        <is>
          <t>YM2610209513</t>
        </is>
      </c>
      <c r="B220" s="114" t="n">
        <v>46309</v>
      </c>
      <c r="C220" s="9" t="inlineStr">
        <is>
          <t>Bengaluru</t>
        </is>
      </c>
      <c r="D220" s="9" t="inlineStr">
        <is>
          <t>BLR-1</t>
        </is>
      </c>
      <c r="E220" s="9" t="inlineStr">
        <is>
          <t>P-18544</t>
        </is>
      </c>
      <c r="F220" s="9" t="inlineStr">
        <is>
          <t>Hair care</t>
        </is>
      </c>
      <c r="G220" s="9" t="inlineStr">
        <is>
          <t>14–17</t>
        </is>
      </c>
      <c r="H220" s="9" t="inlineStr">
        <is>
          <t>Completed</t>
        </is>
      </c>
      <c r="I220" s="9" t="inlineStr">
        <is>
          <t>Y</t>
        </is>
      </c>
      <c r="J220" s="9" t="n"/>
      <c r="K220" s="9" t="inlineStr">
        <is>
          <t>N</t>
        </is>
      </c>
      <c r="L220" s="9" t="n"/>
      <c r="M220" s="116">
        <f>--(COUNTIF($A$2:A220,A220)=1)</f>
        <v>1</v>
      </c>
    </row>
    <row r="221">
      <c r="A221" s="9" t="inlineStr">
        <is>
          <t>YM2610209847</t>
        </is>
      </c>
      <c r="B221" s="114" t="n">
        <v>46310</v>
      </c>
      <c r="C221" s="9" t="inlineStr">
        <is>
          <t>Mumbai</t>
        </is>
      </c>
      <c r="D221" s="9" t="inlineStr">
        <is>
          <t>MUM-5</t>
        </is>
      </c>
      <c r="E221" s="9" t="inlineStr">
        <is>
          <t>P-12997</t>
        </is>
      </c>
      <c r="F221" s="9" t="inlineStr">
        <is>
          <t>Hair care</t>
        </is>
      </c>
      <c r="G221" s="9" t="inlineStr">
        <is>
          <t>14–17</t>
        </is>
      </c>
      <c r="H221" s="9" t="inlineStr">
        <is>
          <t>Completed</t>
        </is>
      </c>
      <c r="I221" s="9" t="inlineStr">
        <is>
          <t>Y</t>
        </is>
      </c>
      <c r="J221" s="9" t="n"/>
      <c r="K221" s="9" t="inlineStr">
        <is>
          <t>N</t>
        </is>
      </c>
      <c r="L221" s="9" t="n"/>
      <c r="M221" s="116">
        <f>--(COUNTIF($A$2:A221,A221)=1)</f>
        <v>1</v>
      </c>
    </row>
    <row r="222">
      <c r="A222" s="9" t="inlineStr">
        <is>
          <t>YM2610144205</t>
        </is>
      </c>
      <c r="B222" s="114" t="n">
        <v>46312</v>
      </c>
      <c r="C222" s="9" t="inlineStr">
        <is>
          <t>Noida &amp; Ghaziabad</t>
        </is>
      </c>
      <c r="D222" s="9" t="inlineStr">
        <is>
          <t>NOI-1</t>
        </is>
      </c>
      <c r="E222" s="9" t="inlineStr">
        <is>
          <t>P-20519</t>
        </is>
      </c>
      <c r="F222" s="9" t="inlineStr">
        <is>
          <t>Waxing</t>
        </is>
      </c>
      <c r="G222" s="9" t="inlineStr">
        <is>
          <t>14–17</t>
        </is>
      </c>
      <c r="H222" s="9" t="inlineStr">
        <is>
          <t>Completed</t>
        </is>
      </c>
      <c r="I222" s="9" t="inlineStr">
        <is>
          <t>N</t>
        </is>
      </c>
      <c r="J222" s="9" t="n">
        <v>5</v>
      </c>
      <c r="K222" s="9" t="inlineStr">
        <is>
          <t>N</t>
        </is>
      </c>
      <c r="L222" s="9" t="n"/>
      <c r="M222" s="116">
        <f>--(COUNTIF($A$2:A222,A222)=1)</f>
        <v>1</v>
      </c>
    </row>
    <row r="223">
      <c r="A223" s="9" t="inlineStr">
        <is>
          <t>YM2610132526</t>
        </is>
      </c>
      <c r="B223" s="114" t="n">
        <v>46313</v>
      </c>
      <c r="C223" s="9" t="inlineStr">
        <is>
          <t>Rest of India</t>
        </is>
      </c>
      <c r="D223" s="9" t="inlineStr">
        <is>
          <t>LKO-1</t>
        </is>
      </c>
      <c r="E223" s="9" t="inlineStr">
        <is>
          <t>P-19455</t>
        </is>
      </c>
      <c r="F223" s="9" t="inlineStr">
        <is>
          <t>Waxing</t>
        </is>
      </c>
      <c r="G223" s="9" t="inlineStr">
        <is>
          <t>17–20</t>
        </is>
      </c>
      <c r="H223" s="9" t="inlineStr">
        <is>
          <t>Completed</t>
        </is>
      </c>
      <c r="I223" s="9" t="inlineStr">
        <is>
          <t>Y</t>
        </is>
      </c>
      <c r="J223" s="9" t="n"/>
      <c r="K223" s="9" t="inlineStr">
        <is>
          <t>N</t>
        </is>
      </c>
      <c r="L223" s="9" t="n"/>
      <c r="M223" s="116">
        <f>--(COUNTIF($A$2:A223,A223)=1)</f>
        <v>1</v>
      </c>
    </row>
    <row r="224">
      <c r="A224" s="9" t="inlineStr">
        <is>
          <t>YM2610138323</t>
        </is>
      </c>
      <c r="B224" s="114" t="n">
        <v>46313</v>
      </c>
      <c r="C224" s="9" t="inlineStr">
        <is>
          <t>Mumbai</t>
        </is>
      </c>
      <c r="D224" s="9" t="inlineStr">
        <is>
          <t>MUM-4</t>
        </is>
      </c>
      <c r="E224" s="9" t="n"/>
      <c r="F224" s="9" t="inlineStr">
        <is>
          <t>Waxing</t>
        </is>
      </c>
      <c r="G224" s="9" t="inlineStr">
        <is>
          <t>17–20</t>
        </is>
      </c>
      <c r="H224" s="9" t="inlineStr">
        <is>
          <t>Unassigned</t>
        </is>
      </c>
      <c r="I224" s="9" t="n"/>
      <c r="J224" s="9" t="n"/>
      <c r="K224" s="9" t="n"/>
      <c r="L224" s="9" t="n"/>
      <c r="M224" s="116">
        <f>--(COUNTIF($A$2:A224,A224)=1)</f>
        <v>1</v>
      </c>
    </row>
    <row r="225">
      <c r="A225" s="9" t="inlineStr">
        <is>
          <t>YM2610124311</t>
        </is>
      </c>
      <c r="B225" s="114" t="n">
        <v>46312</v>
      </c>
      <c r="C225" s="9" t="inlineStr">
        <is>
          <t>Noida &amp; Ghaziabad</t>
        </is>
      </c>
      <c r="D225" s="9" t="inlineStr">
        <is>
          <t>GZB-1</t>
        </is>
      </c>
      <c r="E225" s="9" t="n"/>
      <c r="F225" s="9" t="inlineStr">
        <is>
          <t>Mani-pedi</t>
        </is>
      </c>
      <c r="G225" s="9" t="inlineStr">
        <is>
          <t>17–20</t>
        </is>
      </c>
      <c r="H225" s="9" t="inlineStr">
        <is>
          <t>Unassigned</t>
        </is>
      </c>
      <c r="I225" s="9" t="n"/>
      <c r="J225" s="9" t="n"/>
      <c r="K225" s="9" t="n"/>
      <c r="L225" s="9" t="n"/>
      <c r="M225" s="116">
        <f>--(COUNTIF($A$2:A225,A225)=1)</f>
        <v>1</v>
      </c>
    </row>
    <row r="226">
      <c r="A226" s="9" t="inlineStr">
        <is>
          <t>YM2610133805</t>
        </is>
      </c>
      <c r="B226" s="114" t="n">
        <v>46313</v>
      </c>
      <c r="C226" s="9" t="inlineStr">
        <is>
          <t>Mumbai</t>
        </is>
      </c>
      <c r="D226" s="9" t="inlineStr">
        <is>
          <t>MUM-2</t>
        </is>
      </c>
      <c r="E226" s="9" t="n"/>
      <c r="F226" s="9" t="inlineStr">
        <is>
          <t>Facial &amp; clean-up</t>
        </is>
      </c>
      <c r="G226" s="9" t="inlineStr">
        <is>
          <t>11–14</t>
        </is>
      </c>
      <c r="H226" s="9" t="inlineStr">
        <is>
          <t>Unassigned</t>
        </is>
      </c>
      <c r="I226" s="9" t="n"/>
      <c r="J226" s="9" t="n"/>
      <c r="K226" s="9" t="n"/>
      <c r="L226" s="9" t="n"/>
      <c r="M226" s="116">
        <f>--(COUNTIF($A$2:A226,A226)=1)</f>
        <v>1</v>
      </c>
    </row>
    <row r="227">
      <c r="A227" s="9" t="inlineStr">
        <is>
          <t>YM2610177453</t>
        </is>
      </c>
      <c r="B227" s="114" t="n">
        <v>46311</v>
      </c>
      <c r="C227" s="9" t="inlineStr">
        <is>
          <t>Gurugram</t>
        </is>
      </c>
      <c r="D227" s="9" t="inlineStr">
        <is>
          <t>GGN-1</t>
        </is>
      </c>
      <c r="E227" s="9" t="inlineStr">
        <is>
          <t>P-19931</t>
        </is>
      </c>
      <c r="F227" s="9" t="inlineStr">
        <is>
          <t>Waxing</t>
        </is>
      </c>
      <c r="G227" s="9" t="inlineStr">
        <is>
          <t>11–14</t>
        </is>
      </c>
      <c r="H227" s="9" t="inlineStr">
        <is>
          <t>Completed</t>
        </is>
      </c>
      <c r="I227" s="9" t="inlineStr">
        <is>
          <t>Y</t>
        </is>
      </c>
      <c r="J227" s="9" t="n">
        <v>5</v>
      </c>
      <c r="K227" s="9" t="inlineStr">
        <is>
          <t>N</t>
        </is>
      </c>
      <c r="L227" s="9" t="n"/>
      <c r="M227" s="116">
        <f>--(COUNTIF($A$2:A227,A227)=1)</f>
        <v>1</v>
      </c>
    </row>
    <row r="228">
      <c r="A228" s="9" t="inlineStr">
        <is>
          <t>YM2610178007</t>
        </is>
      </c>
      <c r="B228" s="114" t="n">
        <v>46313</v>
      </c>
      <c r="C228" s="9" t="inlineStr">
        <is>
          <t>Bengaluru</t>
        </is>
      </c>
      <c r="D228" s="9" t="inlineStr">
        <is>
          <t>BLR-3</t>
        </is>
      </c>
      <c r="E228" s="9" t="inlineStr">
        <is>
          <t>P-10031</t>
        </is>
      </c>
      <c r="F228" s="9" t="inlineStr">
        <is>
          <t>Waxing</t>
        </is>
      </c>
      <c r="G228" s="9" t="inlineStr">
        <is>
          <t>14–17</t>
        </is>
      </c>
      <c r="H228" s="9" t="inlineStr">
        <is>
          <t>Completed</t>
        </is>
      </c>
      <c r="I228" s="9" t="inlineStr">
        <is>
          <t>Y</t>
        </is>
      </c>
      <c r="J228" s="9" t="n">
        <v>5</v>
      </c>
      <c r="K228" s="9" t="inlineStr">
        <is>
          <t>N</t>
        </is>
      </c>
      <c r="L228" s="9" t="n"/>
      <c r="M228" s="116">
        <f>--(COUNTIF($A$2:A228,A228)=1)</f>
        <v>1</v>
      </c>
    </row>
    <row r="229">
      <c r="A229" s="9" t="inlineStr">
        <is>
          <t>YM2610210269</t>
        </is>
      </c>
      <c r="B229" s="114" t="n">
        <v>46313</v>
      </c>
      <c r="C229" s="9" t="inlineStr">
        <is>
          <t>Rest of India</t>
        </is>
      </c>
      <c r="D229" s="9" t="inlineStr">
        <is>
          <t>JAI-1</t>
        </is>
      </c>
      <c r="E229" s="9" t="inlineStr">
        <is>
          <t>P-11216</t>
        </is>
      </c>
      <c r="F229" s="9" t="inlineStr">
        <is>
          <t>Threading &amp; de-tan</t>
        </is>
      </c>
      <c r="G229" s="9" t="inlineStr">
        <is>
          <t>14–17</t>
        </is>
      </c>
      <c r="H229" s="9" t="inlineStr">
        <is>
          <t>Completed</t>
        </is>
      </c>
      <c r="I229" s="9" t="inlineStr">
        <is>
          <t>Y</t>
        </is>
      </c>
      <c r="J229" s="9" t="n"/>
      <c r="K229" s="9" t="inlineStr">
        <is>
          <t>N</t>
        </is>
      </c>
      <c r="L229" s="9" t="n"/>
      <c r="M229" s="116">
        <f>--(COUNTIF($A$2:A229,A229)=1)</f>
        <v>1</v>
      </c>
    </row>
    <row r="230">
      <c r="A230" s="9" t="inlineStr">
        <is>
          <t>YM2610149940</t>
        </is>
      </c>
      <c r="B230" s="114" t="n">
        <v>46307</v>
      </c>
      <c r="C230" s="9" t="inlineStr">
        <is>
          <t>Pune</t>
        </is>
      </c>
      <c r="D230" s="9" t="inlineStr">
        <is>
          <t>PUN-1</t>
        </is>
      </c>
      <c r="E230" s="9" t="inlineStr">
        <is>
          <t>P-27279</t>
        </is>
      </c>
      <c r="F230" s="9" t="inlineStr">
        <is>
          <t>Waxing</t>
        </is>
      </c>
      <c r="G230" s="9" t="inlineStr">
        <is>
          <t>17–20</t>
        </is>
      </c>
      <c r="H230" s="9" t="inlineStr">
        <is>
          <t>Completed</t>
        </is>
      </c>
      <c r="I230" s="9" t="inlineStr">
        <is>
          <t>N</t>
        </is>
      </c>
      <c r="J230" s="9" t="n"/>
      <c r="K230" s="9" t="inlineStr">
        <is>
          <t>N</t>
        </is>
      </c>
      <c r="L230" s="9" t="n"/>
      <c r="M230" s="116">
        <f>--(COUNTIF($A$2:A230,A230)=1)</f>
        <v>1</v>
      </c>
    </row>
    <row r="231">
      <c r="A231" s="9" t="inlineStr">
        <is>
          <t>YM2610180346</t>
        </is>
      </c>
      <c r="B231" s="114" t="n">
        <v>46312</v>
      </c>
      <c r="C231" s="9" t="inlineStr">
        <is>
          <t>Rest of India</t>
        </is>
      </c>
      <c r="D231" s="9" t="inlineStr">
        <is>
          <t>JAI-1</t>
        </is>
      </c>
      <c r="E231" s="9" t="inlineStr">
        <is>
          <t>P-16749</t>
        </is>
      </c>
      <c r="F231" s="9" t="inlineStr">
        <is>
          <t>Facial &amp; clean-up</t>
        </is>
      </c>
      <c r="G231" s="9" t="inlineStr">
        <is>
          <t>17–20</t>
        </is>
      </c>
      <c r="H231" s="9" t="inlineStr">
        <is>
          <t>Completed</t>
        </is>
      </c>
      <c r="I231" s="9" t="inlineStr">
        <is>
          <t>Y</t>
        </is>
      </c>
      <c r="J231" s="9" t="n"/>
      <c r="K231" s="9" t="inlineStr">
        <is>
          <t>N</t>
        </is>
      </c>
      <c r="L231" s="9" t="n"/>
      <c r="M231" s="116">
        <f>--(COUNTIF($A$2:A231,A231)=1)</f>
        <v>1</v>
      </c>
    </row>
    <row r="232">
      <c r="A232" s="9" t="inlineStr">
        <is>
          <t>YM2610155235</t>
        </is>
      </c>
      <c r="B232" s="114" t="n">
        <v>46312</v>
      </c>
      <c r="C232" s="9" t="inlineStr">
        <is>
          <t>Delhi</t>
        </is>
      </c>
      <c r="D232" s="9" t="inlineStr">
        <is>
          <t>DEL-1</t>
        </is>
      </c>
      <c r="E232" s="9" t="inlineStr">
        <is>
          <t>P-27904</t>
        </is>
      </c>
      <c r="F232" s="9" t="inlineStr">
        <is>
          <t>Waxing</t>
        </is>
      </c>
      <c r="G232" s="9" t="inlineStr">
        <is>
          <t>8–11</t>
        </is>
      </c>
      <c r="H232" s="9" t="inlineStr">
        <is>
          <t>Completed</t>
        </is>
      </c>
      <c r="I232" s="9" t="inlineStr">
        <is>
          <t>Y</t>
        </is>
      </c>
      <c r="J232" s="9" t="n"/>
      <c r="K232" s="9" t="inlineStr">
        <is>
          <t>N</t>
        </is>
      </c>
      <c r="L232" s="9" t="n"/>
      <c r="M232" s="116">
        <f>--(COUNTIF($A$2:A232,A232)=1)</f>
        <v>1</v>
      </c>
    </row>
    <row r="233">
      <c r="A233" s="9" t="inlineStr">
        <is>
          <t>YM2610138981</t>
        </is>
      </c>
      <c r="B233" s="114" t="n">
        <v>46313</v>
      </c>
      <c r="C233" s="9" t="inlineStr">
        <is>
          <t>Gurugram</t>
        </is>
      </c>
      <c r="D233" s="9" t="inlineStr">
        <is>
          <t>GGN-1</t>
        </is>
      </c>
      <c r="E233" s="9" t="inlineStr">
        <is>
          <t>P-25939</t>
        </is>
      </c>
      <c r="F233" s="9" t="inlineStr">
        <is>
          <t>Mani-pedi</t>
        </is>
      </c>
      <c r="G233" s="9" t="inlineStr">
        <is>
          <t>8–11</t>
        </is>
      </c>
      <c r="H233" s="9" t="inlineStr">
        <is>
          <t>Completed</t>
        </is>
      </c>
      <c r="I233" s="9" t="inlineStr">
        <is>
          <t>Y</t>
        </is>
      </c>
      <c r="J233" s="9" t="n">
        <v>5</v>
      </c>
      <c r="K233" s="9" t="inlineStr">
        <is>
          <t>N</t>
        </is>
      </c>
      <c r="L233" s="9" t="n"/>
      <c r="M233" s="116">
        <f>--(COUNTIF($A$2:A233,A233)=1)</f>
        <v>1</v>
      </c>
    </row>
    <row r="234">
      <c r="A234" s="9" t="inlineStr">
        <is>
          <t>YM2610139597</t>
        </is>
      </c>
      <c r="B234" s="114" t="n">
        <v>46310</v>
      </c>
      <c r="C234" s="9" t="inlineStr">
        <is>
          <t>Mumbai</t>
        </is>
      </c>
      <c r="D234" s="9" t="inlineStr">
        <is>
          <t>MUM-5</t>
        </is>
      </c>
      <c r="E234" s="9" t="inlineStr">
        <is>
          <t>P-28457</t>
        </is>
      </c>
      <c r="F234" s="9" t="inlineStr">
        <is>
          <t>Facial &amp; clean-up</t>
        </is>
      </c>
      <c r="G234" s="9" t="inlineStr">
        <is>
          <t>20–22</t>
        </is>
      </c>
      <c r="H234" s="9" t="inlineStr">
        <is>
          <t>Completed</t>
        </is>
      </c>
      <c r="I234" s="9" t="inlineStr">
        <is>
          <t>Y</t>
        </is>
      </c>
      <c r="J234" s="9" t="n">
        <v>4</v>
      </c>
      <c r="K234" s="9" t="inlineStr">
        <is>
          <t>N</t>
        </is>
      </c>
      <c r="L234" s="9" t="n"/>
      <c r="M234" s="116">
        <f>--(COUNTIF($A$2:A234,A234)=1)</f>
        <v>1</v>
      </c>
    </row>
    <row r="235">
      <c r="A235" s="9" t="inlineStr">
        <is>
          <t>YM2610174228</t>
        </is>
      </c>
      <c r="B235" s="114" t="n">
        <v>46313</v>
      </c>
      <c r="C235" s="9" t="inlineStr">
        <is>
          <t>Mumbai</t>
        </is>
      </c>
      <c r="D235" s="9" t="inlineStr">
        <is>
          <t>MUM-2</t>
        </is>
      </c>
      <c r="E235" s="9" t="inlineStr">
        <is>
          <t>P-13751</t>
        </is>
      </c>
      <c r="F235" s="9" t="inlineStr">
        <is>
          <t>Mani-pedi</t>
        </is>
      </c>
      <c r="G235" s="9" t="inlineStr">
        <is>
          <t>17–20</t>
        </is>
      </c>
      <c r="H235" s="9" t="inlineStr">
        <is>
          <t>Completed</t>
        </is>
      </c>
      <c r="I235" s="9" t="inlineStr">
        <is>
          <t>Y</t>
        </is>
      </c>
      <c r="J235" s="9" t="n"/>
      <c r="K235" s="9" t="inlineStr">
        <is>
          <t>N</t>
        </is>
      </c>
      <c r="L235" s="9" t="n"/>
      <c r="M235" s="116">
        <f>--(COUNTIF($A$2:A235,A235)=1)</f>
        <v>1</v>
      </c>
    </row>
    <row r="236">
      <c r="A236" s="9" t="inlineStr">
        <is>
          <t>YM2610142144</t>
        </is>
      </c>
      <c r="B236" s="114" t="n">
        <v>46313</v>
      </c>
      <c r="C236" s="9" t="inlineStr">
        <is>
          <t>Delhi</t>
        </is>
      </c>
      <c r="D236" s="9" t="inlineStr">
        <is>
          <t>DEL-2</t>
        </is>
      </c>
      <c r="E236" s="9" t="inlineStr">
        <is>
          <t>P-24584</t>
        </is>
      </c>
      <c r="F236" s="9" t="inlineStr">
        <is>
          <t>Massage &amp; body</t>
        </is>
      </c>
      <c r="G236" s="9" t="inlineStr">
        <is>
          <t>11–14</t>
        </is>
      </c>
      <c r="H236" s="9" t="inlineStr">
        <is>
          <t>Completed</t>
        </is>
      </c>
      <c r="I236" s="9" t="inlineStr">
        <is>
          <t>Y</t>
        </is>
      </c>
      <c r="J236" s="9" t="n">
        <v>3</v>
      </c>
      <c r="K236" s="9" t="inlineStr">
        <is>
          <t>N</t>
        </is>
      </c>
      <c r="L236" s="9" t="n"/>
      <c r="M236" s="116">
        <f>--(COUNTIF($A$2:A236,A236)=1)</f>
        <v>1</v>
      </c>
    </row>
    <row r="237">
      <c r="A237" s="9" t="inlineStr">
        <is>
          <t>YM2610217861</t>
        </is>
      </c>
      <c r="B237" s="114" t="n">
        <v>46307</v>
      </c>
      <c r="C237" s="9" t="inlineStr">
        <is>
          <t>Delhi</t>
        </is>
      </c>
      <c r="D237" s="9" t="inlineStr">
        <is>
          <t>DEL-3</t>
        </is>
      </c>
      <c r="E237" s="9" t="inlineStr">
        <is>
          <t>P-18664</t>
        </is>
      </c>
      <c r="F237" s="9" t="inlineStr">
        <is>
          <t>Waxing</t>
        </is>
      </c>
      <c r="G237" s="9" t="inlineStr">
        <is>
          <t>20–22</t>
        </is>
      </c>
      <c r="H237" s="9" t="inlineStr">
        <is>
          <t>Completed</t>
        </is>
      </c>
      <c r="I237" s="9" t="inlineStr">
        <is>
          <t>Y</t>
        </is>
      </c>
      <c r="J237" s="9" t="n">
        <v>5</v>
      </c>
      <c r="K237" s="9" t="inlineStr">
        <is>
          <t>N</t>
        </is>
      </c>
      <c r="L237" s="9" t="n"/>
      <c r="M237" s="116">
        <f>--(COUNTIF($A$2:A237,A237)=1)</f>
        <v>1</v>
      </c>
    </row>
    <row r="238">
      <c r="A238" s="9" t="inlineStr">
        <is>
          <t>YM2610205476</t>
        </is>
      </c>
      <c r="B238" s="114" t="n">
        <v>46311</v>
      </c>
      <c r="C238" s="9" t="inlineStr">
        <is>
          <t>Gurugram</t>
        </is>
      </c>
      <c r="D238" s="9" t="inlineStr">
        <is>
          <t>GGN-2</t>
        </is>
      </c>
      <c r="E238" s="9" t="n"/>
      <c r="F238" s="9" t="inlineStr">
        <is>
          <t>Hair care</t>
        </is>
      </c>
      <c r="G238" s="9" t="inlineStr">
        <is>
          <t>8–11</t>
        </is>
      </c>
      <c r="H238" s="9" t="inlineStr">
        <is>
          <t>Unassigned</t>
        </is>
      </c>
      <c r="I238" s="9" t="n"/>
      <c r="J238" s="9" t="n"/>
      <c r="K238" s="9" t="n"/>
      <c r="L238" s="9" t="n"/>
      <c r="M238" s="116">
        <f>--(COUNTIF($A$2:A238,A238)=1)</f>
        <v>1</v>
      </c>
    </row>
    <row r="239">
      <c r="A239" s="9" t="inlineStr">
        <is>
          <t>YM2610172809</t>
        </is>
      </c>
      <c r="B239" s="114" t="n">
        <v>46312</v>
      </c>
      <c r="C239" s="9" t="inlineStr">
        <is>
          <t>Rest of India</t>
        </is>
      </c>
      <c r="D239" s="9" t="inlineStr">
        <is>
          <t>LKO-1</t>
        </is>
      </c>
      <c r="E239" s="9" t="inlineStr">
        <is>
          <t>P-19709</t>
        </is>
      </c>
      <c r="F239" s="9" t="inlineStr">
        <is>
          <t>Facial &amp; clean-up</t>
        </is>
      </c>
      <c r="G239" s="9" t="inlineStr">
        <is>
          <t>11–14</t>
        </is>
      </c>
      <c r="H239" s="9" t="inlineStr">
        <is>
          <t>Completed</t>
        </is>
      </c>
      <c r="I239" s="9" t="inlineStr">
        <is>
          <t>N</t>
        </is>
      </c>
      <c r="J239" s="9" t="n">
        <v>5</v>
      </c>
      <c r="K239" s="9" t="inlineStr">
        <is>
          <t>N</t>
        </is>
      </c>
      <c r="L239" s="9" t="n"/>
      <c r="M239" s="116">
        <f>--(COUNTIF($A$2:A239,A239)=1)</f>
        <v>1</v>
      </c>
    </row>
    <row r="240">
      <c r="A240" s="9" t="inlineStr">
        <is>
          <t>YM2610170725</t>
        </is>
      </c>
      <c r="B240" s="114" t="n">
        <v>46312</v>
      </c>
      <c r="C240" s="9" t="inlineStr">
        <is>
          <t>Rest of India</t>
        </is>
      </c>
      <c r="D240" s="9" t="inlineStr">
        <is>
          <t>LKO-1</t>
        </is>
      </c>
      <c r="E240" s="9" t="inlineStr">
        <is>
          <t>P-21673</t>
        </is>
      </c>
      <c r="F240" s="9" t="inlineStr">
        <is>
          <t>Facial &amp; clean-up</t>
        </is>
      </c>
      <c r="G240" s="9" t="inlineStr">
        <is>
          <t>8–11</t>
        </is>
      </c>
      <c r="H240" s="9" t="inlineStr">
        <is>
          <t>Completed</t>
        </is>
      </c>
      <c r="I240" s="9" t="inlineStr">
        <is>
          <t>Y</t>
        </is>
      </c>
      <c r="J240" s="9" t="n">
        <v>5</v>
      </c>
      <c r="K240" s="9" t="inlineStr">
        <is>
          <t>N</t>
        </is>
      </c>
      <c r="L240" s="9" t="n"/>
      <c r="M240" s="116">
        <f>--(COUNTIF($A$2:A240,A240)=1)</f>
        <v>1</v>
      </c>
    </row>
    <row r="241">
      <c r="A241" s="9" t="inlineStr">
        <is>
          <t>YM2610213480</t>
        </is>
      </c>
      <c r="B241" s="114" t="n">
        <v>46313</v>
      </c>
      <c r="C241" s="9" t="inlineStr">
        <is>
          <t>Noida &amp; Ghaziabad</t>
        </is>
      </c>
      <c r="D241" s="9" t="inlineStr">
        <is>
          <t>NOI-3</t>
        </is>
      </c>
      <c r="E241" s="9" t="inlineStr">
        <is>
          <t>P-11656</t>
        </is>
      </c>
      <c r="F241" s="9" t="inlineStr">
        <is>
          <t>Laser &amp; Hydra</t>
        </is>
      </c>
      <c r="G241" s="9" t="inlineStr">
        <is>
          <t>11–14</t>
        </is>
      </c>
      <c r="H241" s="9" t="inlineStr">
        <is>
          <t>Completed</t>
        </is>
      </c>
      <c r="I241" s="9" t="inlineStr">
        <is>
          <t>Y</t>
        </is>
      </c>
      <c r="J241" s="9" t="n">
        <v>5</v>
      </c>
      <c r="K241" s="9" t="inlineStr">
        <is>
          <t>N</t>
        </is>
      </c>
      <c r="L241" s="9" t="n"/>
      <c r="M241" s="116">
        <f>--(COUNTIF($A$2:A241,A241)=1)</f>
        <v>1</v>
      </c>
    </row>
    <row r="242">
      <c r="A242" s="9" t="inlineStr">
        <is>
          <t>YM2610142448</t>
        </is>
      </c>
      <c r="B242" s="114" t="n">
        <v>46309</v>
      </c>
      <c r="C242" s="9" t="inlineStr">
        <is>
          <t>Delhi</t>
        </is>
      </c>
      <c r="D242" s="9" t="inlineStr">
        <is>
          <t>DEL-1</t>
        </is>
      </c>
      <c r="E242" s="9" t="inlineStr">
        <is>
          <t>P-24522</t>
        </is>
      </c>
      <c r="F242" s="9" t="inlineStr">
        <is>
          <t>Hair care</t>
        </is>
      </c>
      <c r="G242" s="9" t="inlineStr">
        <is>
          <t>14–17</t>
        </is>
      </c>
      <c r="H242" s="9" t="inlineStr">
        <is>
          <t>Completed</t>
        </is>
      </c>
      <c r="I242" s="9" t="inlineStr">
        <is>
          <t>Y</t>
        </is>
      </c>
      <c r="J242" s="9" t="n"/>
      <c r="K242" s="9" t="inlineStr">
        <is>
          <t>N</t>
        </is>
      </c>
      <c r="L242" s="9" t="n"/>
      <c r="M242" s="116">
        <f>--(COUNTIF($A$2:A242,A242)=1)</f>
        <v>1</v>
      </c>
    </row>
    <row r="243">
      <c r="A243" s="9" t="inlineStr">
        <is>
          <t>YM2610188015</t>
        </is>
      </c>
      <c r="B243" s="114" t="n">
        <v>46311</v>
      </c>
      <c r="C243" s="9" t="inlineStr">
        <is>
          <t>Rest of India</t>
        </is>
      </c>
      <c r="D243" s="9" t="inlineStr">
        <is>
          <t>AHM-2</t>
        </is>
      </c>
      <c r="E243" s="9" t="inlineStr">
        <is>
          <t>P-14691</t>
        </is>
      </c>
      <c r="F243" s="9" t="inlineStr">
        <is>
          <t>Facial &amp; clean-up</t>
        </is>
      </c>
      <c r="G243" s="9" t="inlineStr">
        <is>
          <t>11–14</t>
        </is>
      </c>
      <c r="H243" s="9" t="inlineStr">
        <is>
          <t>Completed</t>
        </is>
      </c>
      <c r="I243" s="9" t="inlineStr">
        <is>
          <t>Y</t>
        </is>
      </c>
      <c r="J243" s="9" t="n">
        <v>5</v>
      </c>
      <c r="K243" s="9" t="inlineStr">
        <is>
          <t>N</t>
        </is>
      </c>
      <c r="L243" s="9" t="n"/>
      <c r="M243" s="116">
        <f>--(COUNTIF($A$2:A243,A243)=1)</f>
        <v>1</v>
      </c>
    </row>
    <row r="244">
      <c r="A244" s="9" t="inlineStr">
        <is>
          <t>YM2610215994</t>
        </is>
      </c>
      <c r="B244" s="114" t="n">
        <v>46309</v>
      </c>
      <c r="C244" s="9" t="inlineStr">
        <is>
          <t>Mumbai</t>
        </is>
      </c>
      <c r="D244" s="9" t="inlineStr">
        <is>
          <t>MUM-2</t>
        </is>
      </c>
      <c r="E244" s="9" t="inlineStr">
        <is>
          <t>P-22413</t>
        </is>
      </c>
      <c r="F244" s="9" t="inlineStr">
        <is>
          <t>Facial &amp; clean-up</t>
        </is>
      </c>
      <c r="G244" s="9" t="inlineStr">
        <is>
          <t>11–14</t>
        </is>
      </c>
      <c r="H244" s="9" t="inlineStr">
        <is>
          <t>Completed</t>
        </is>
      </c>
      <c r="I244" s="9" t="inlineStr">
        <is>
          <t>Y</t>
        </is>
      </c>
      <c r="J244" s="9" t="n"/>
      <c r="K244" s="9" t="inlineStr">
        <is>
          <t>N</t>
        </is>
      </c>
      <c r="L244" s="9" t="n"/>
      <c r="M244" s="116">
        <f>--(COUNTIF($A$2:A244,A244)=1)</f>
        <v>1</v>
      </c>
    </row>
    <row r="245">
      <c r="A245" s="9" t="inlineStr">
        <is>
          <t>YM2610203014</t>
        </is>
      </c>
      <c r="B245" s="114" t="n">
        <v>46308</v>
      </c>
      <c r="C245" s="9" t="inlineStr">
        <is>
          <t>Noida &amp; Ghaziabad</t>
        </is>
      </c>
      <c r="D245" s="9" t="inlineStr">
        <is>
          <t>NOI-1</t>
        </is>
      </c>
      <c r="E245" s="9" t="inlineStr">
        <is>
          <t>P-23151</t>
        </is>
      </c>
      <c r="F245" s="9" t="inlineStr">
        <is>
          <t>Makeup</t>
        </is>
      </c>
      <c r="G245" s="9" t="inlineStr">
        <is>
          <t>8–11</t>
        </is>
      </c>
      <c r="H245" s="9" t="inlineStr">
        <is>
          <t>Completed</t>
        </is>
      </c>
      <c r="I245" s="9" t="inlineStr">
        <is>
          <t>Y</t>
        </is>
      </c>
      <c r="J245" s="9" t="n">
        <v>3</v>
      </c>
      <c r="K245" s="9" t="inlineStr">
        <is>
          <t>N</t>
        </is>
      </c>
      <c r="L245" s="9" t="n"/>
      <c r="M245" s="116">
        <f>--(COUNTIF($A$2:A245,A245)=1)</f>
        <v>1</v>
      </c>
    </row>
    <row r="246">
      <c r="A246" s="9" t="inlineStr">
        <is>
          <t>YM2610184010</t>
        </is>
      </c>
      <c r="B246" s="114" t="n">
        <v>46312</v>
      </c>
      <c r="C246" s="9" t="inlineStr">
        <is>
          <t>Delhi</t>
        </is>
      </c>
      <c r="D246" s="9" t="inlineStr">
        <is>
          <t>DEL-3</t>
        </is>
      </c>
      <c r="E246" s="9" t="inlineStr">
        <is>
          <t>P-14484</t>
        </is>
      </c>
      <c r="F246" s="9" t="inlineStr">
        <is>
          <t>Facial &amp; clean-up</t>
        </is>
      </c>
      <c r="G246" s="9" t="inlineStr">
        <is>
          <t>14–17</t>
        </is>
      </c>
      <c r="H246" s="9" t="inlineStr">
        <is>
          <t>Completed</t>
        </is>
      </c>
      <c r="I246" s="9" t="inlineStr">
        <is>
          <t>Y</t>
        </is>
      </c>
      <c r="J246" s="9" t="n">
        <v>4</v>
      </c>
      <c r="K246" s="9" t="inlineStr">
        <is>
          <t>N</t>
        </is>
      </c>
      <c r="L246" s="9" t="n"/>
      <c r="M246" s="116">
        <f>--(COUNTIF($A$2:A246,A246)=1)</f>
        <v>1</v>
      </c>
    </row>
    <row r="247">
      <c r="A247" s="9" t="inlineStr">
        <is>
          <t>YM2610169760</t>
        </is>
      </c>
      <c r="B247" s="114" t="n">
        <v>46308</v>
      </c>
      <c r="C247" s="9" t="inlineStr">
        <is>
          <t>Delhi</t>
        </is>
      </c>
      <c r="D247" s="9" t="inlineStr">
        <is>
          <t>DEL-3</t>
        </is>
      </c>
      <c r="E247" s="9" t="inlineStr">
        <is>
          <t>P-29030</t>
        </is>
      </c>
      <c r="F247" s="9" t="inlineStr">
        <is>
          <t>Laser &amp; Hydra</t>
        </is>
      </c>
      <c r="G247" s="9" t="inlineStr">
        <is>
          <t>17–20</t>
        </is>
      </c>
      <c r="H247" s="9" t="inlineStr">
        <is>
          <t>Completed</t>
        </is>
      </c>
      <c r="I247" s="9" t="inlineStr">
        <is>
          <t>Y</t>
        </is>
      </c>
      <c r="J247" s="9" t="n">
        <v>5</v>
      </c>
      <c r="K247" s="9" t="inlineStr">
        <is>
          <t>N</t>
        </is>
      </c>
      <c r="L247" s="9" t="n"/>
      <c r="M247" s="116">
        <f>--(COUNTIF($A$2:A247,A247)=1)</f>
        <v>1</v>
      </c>
    </row>
    <row r="248">
      <c r="A248" s="9" t="inlineStr">
        <is>
          <t>YM2610147584</t>
        </is>
      </c>
      <c r="B248" s="114" t="n">
        <v>46309</v>
      </c>
      <c r="C248" s="9" t="inlineStr">
        <is>
          <t>Mumbai</t>
        </is>
      </c>
      <c r="D248" s="9" t="inlineStr">
        <is>
          <t>MUM-5</t>
        </is>
      </c>
      <c r="E248" s="9" t="inlineStr">
        <is>
          <t>P-13678</t>
        </is>
      </c>
      <c r="F248" s="9" t="inlineStr">
        <is>
          <t>Waxing</t>
        </is>
      </c>
      <c r="G248" s="9" t="inlineStr">
        <is>
          <t>11–14</t>
        </is>
      </c>
      <c r="H248" s="9" t="inlineStr">
        <is>
          <t>Cancelled – customer</t>
        </is>
      </c>
      <c r="I248" s="9" t="n"/>
      <c r="J248" s="9" t="n"/>
      <c r="K248" s="9" t="n"/>
      <c r="L248" s="9" t="n"/>
      <c r="M248" s="116">
        <f>--(COUNTIF($A$2:A248,A248)=1)</f>
        <v>1</v>
      </c>
    </row>
    <row r="249">
      <c r="A249" s="9" t="inlineStr">
        <is>
          <t>YM2610150752</t>
        </is>
      </c>
      <c r="B249" s="114" t="n">
        <v>46312</v>
      </c>
      <c r="C249" s="9" t="inlineStr">
        <is>
          <t>Rest of India</t>
        </is>
      </c>
      <c r="D249" s="9" t="inlineStr">
        <is>
          <t>AHM-2</t>
        </is>
      </c>
      <c r="E249" s="9" t="inlineStr">
        <is>
          <t>P-17423</t>
        </is>
      </c>
      <c r="F249" s="9" t="inlineStr">
        <is>
          <t>Hair care</t>
        </is>
      </c>
      <c r="G249" s="9" t="inlineStr">
        <is>
          <t>8–11</t>
        </is>
      </c>
      <c r="H249" s="9" t="inlineStr">
        <is>
          <t>Completed</t>
        </is>
      </c>
      <c r="I249" s="9" t="inlineStr">
        <is>
          <t>Y</t>
        </is>
      </c>
      <c r="J249" s="9" t="n"/>
      <c r="K249" s="9" t="inlineStr">
        <is>
          <t>N</t>
        </is>
      </c>
      <c r="L249" s="9" t="n"/>
      <c r="M249" s="116">
        <f>--(COUNTIF($A$2:A249,A249)=1)</f>
        <v>1</v>
      </c>
    </row>
    <row r="250">
      <c r="A250" s="9" t="inlineStr">
        <is>
          <t>YM2610138600</t>
        </is>
      </c>
      <c r="B250" s="114" t="n">
        <v>46311</v>
      </c>
      <c r="C250" s="9" t="inlineStr">
        <is>
          <t>Rest of India</t>
        </is>
      </c>
      <c r="D250" s="9" t="inlineStr">
        <is>
          <t>JAI-1</t>
        </is>
      </c>
      <c r="E250" s="9" t="inlineStr">
        <is>
          <t>P-26880</t>
        </is>
      </c>
      <c r="F250" s="9" t="inlineStr">
        <is>
          <t>Waxing</t>
        </is>
      </c>
      <c r="G250" s="9" t="inlineStr">
        <is>
          <t>17–20</t>
        </is>
      </c>
      <c r="H250" s="9" t="inlineStr">
        <is>
          <t>Completed</t>
        </is>
      </c>
      <c r="I250" s="9" t="inlineStr">
        <is>
          <t>Y</t>
        </is>
      </c>
      <c r="J250" s="9" t="n"/>
      <c r="K250" s="9" t="inlineStr">
        <is>
          <t>N</t>
        </is>
      </c>
      <c r="L250" s="9" t="n"/>
      <c r="M250" s="116">
        <f>--(COUNTIF($A$2:A250,A250)=1)</f>
        <v>1</v>
      </c>
    </row>
    <row r="251">
      <c r="A251" s="9" t="inlineStr">
        <is>
          <t>YM2610128543</t>
        </is>
      </c>
      <c r="B251" s="114" t="n">
        <v>46313</v>
      </c>
      <c r="C251" s="9" t="inlineStr">
        <is>
          <t>Gurugram</t>
        </is>
      </c>
      <c r="D251" s="9" t="inlineStr">
        <is>
          <t>GGN-2</t>
        </is>
      </c>
      <c r="E251" s="9" t="inlineStr">
        <is>
          <t>P-17762</t>
        </is>
      </c>
      <c r="F251" s="9" t="inlineStr">
        <is>
          <t>Waxing</t>
        </is>
      </c>
      <c r="G251" s="9" t="inlineStr">
        <is>
          <t>14–17</t>
        </is>
      </c>
      <c r="H251" s="9" t="inlineStr">
        <is>
          <t>Completed</t>
        </is>
      </c>
      <c r="I251" s="9" t="inlineStr">
        <is>
          <t>Y</t>
        </is>
      </c>
      <c r="J251" s="9" t="n">
        <v>5</v>
      </c>
      <c r="K251" s="9" t="inlineStr">
        <is>
          <t>N</t>
        </is>
      </c>
      <c r="L251" s="9" t="n"/>
      <c r="M251" s="116">
        <f>--(COUNTIF($A$2:A251,A251)=1)</f>
        <v>1</v>
      </c>
    </row>
    <row r="252">
      <c r="A252" s="9" t="inlineStr">
        <is>
          <t>YM2610132495</t>
        </is>
      </c>
      <c r="B252" s="114" t="n">
        <v>46310</v>
      </c>
      <c r="C252" s="9" t="inlineStr">
        <is>
          <t>Rest of India</t>
        </is>
      </c>
      <c r="D252" s="9" t="inlineStr">
        <is>
          <t>LKO-1</t>
        </is>
      </c>
      <c r="E252" s="9" t="inlineStr">
        <is>
          <t>P-28447</t>
        </is>
      </c>
      <c r="F252" s="9" t="inlineStr">
        <is>
          <t>Waxing</t>
        </is>
      </c>
      <c r="G252" s="9" t="inlineStr">
        <is>
          <t>8–11</t>
        </is>
      </c>
      <c r="H252" s="9" t="inlineStr">
        <is>
          <t>Completed</t>
        </is>
      </c>
      <c r="I252" s="9" t="inlineStr">
        <is>
          <t>Y</t>
        </is>
      </c>
      <c r="J252" s="9" t="n"/>
      <c r="K252" s="9" t="inlineStr">
        <is>
          <t>N</t>
        </is>
      </c>
      <c r="L252" s="9" t="n"/>
      <c r="M252" s="116">
        <f>--(COUNTIF($A$2:A252,A252)=1)</f>
        <v>1</v>
      </c>
    </row>
    <row r="253">
      <c r="A253" s="9" t="inlineStr">
        <is>
          <t>YM2610152365</t>
        </is>
      </c>
      <c r="B253" s="114" t="n">
        <v>46313</v>
      </c>
      <c r="C253" s="9" t="inlineStr">
        <is>
          <t>Noida &amp; Ghaziabad</t>
        </is>
      </c>
      <c r="D253" s="9" t="inlineStr">
        <is>
          <t>NOI-3</t>
        </is>
      </c>
      <c r="E253" s="9" t="inlineStr">
        <is>
          <t>P-26815</t>
        </is>
      </c>
      <c r="F253" s="9" t="inlineStr">
        <is>
          <t>Mani-pedi</t>
        </is>
      </c>
      <c r="G253" s="9" t="inlineStr">
        <is>
          <t>17–20</t>
        </is>
      </c>
      <c r="H253" s="9" t="inlineStr">
        <is>
          <t>Completed</t>
        </is>
      </c>
      <c r="I253" s="9" t="inlineStr">
        <is>
          <t>N</t>
        </is>
      </c>
      <c r="J253" s="9" t="n">
        <v>5</v>
      </c>
      <c r="K253" s="9" t="inlineStr">
        <is>
          <t>N</t>
        </is>
      </c>
      <c r="L253" s="9" t="n"/>
      <c r="M253" s="116">
        <f>--(COUNTIF($A$2:A253,A253)=1)</f>
        <v>1</v>
      </c>
    </row>
    <row r="254">
      <c r="A254" s="9" t="inlineStr">
        <is>
          <t>YM2610135807</t>
        </is>
      </c>
      <c r="B254" s="114" t="n">
        <v>46311</v>
      </c>
      <c r="C254" s="9" t="inlineStr">
        <is>
          <t>Delhi</t>
        </is>
      </c>
      <c r="D254" s="9" t="inlineStr">
        <is>
          <t>DEL-1</t>
        </is>
      </c>
      <c r="E254" s="9" t="inlineStr">
        <is>
          <t>P-17944</t>
        </is>
      </c>
      <c r="F254" s="9" t="inlineStr">
        <is>
          <t>Facial &amp; clean-up</t>
        </is>
      </c>
      <c r="G254" s="9" t="inlineStr">
        <is>
          <t>8–11</t>
        </is>
      </c>
      <c r="H254" s="9" t="inlineStr">
        <is>
          <t>Completed</t>
        </is>
      </c>
      <c r="I254" s="9" t="inlineStr">
        <is>
          <t>Y</t>
        </is>
      </c>
      <c r="J254" s="9" t="n"/>
      <c r="K254" s="9" t="inlineStr">
        <is>
          <t>N</t>
        </is>
      </c>
      <c r="L254" s="9" t="n"/>
      <c r="M254" s="116">
        <f>--(COUNTIF($A$2:A254,A254)=1)</f>
        <v>1</v>
      </c>
    </row>
    <row r="255">
      <c r="A255" s="9" t="inlineStr">
        <is>
          <t>YM2610145283</t>
        </is>
      </c>
      <c r="B255" s="114" t="n">
        <v>46311</v>
      </c>
      <c r="C255" s="9" t="inlineStr">
        <is>
          <t>Rest of India</t>
        </is>
      </c>
      <c r="D255" s="9" t="inlineStr">
        <is>
          <t>LKO-1</t>
        </is>
      </c>
      <c r="E255" s="9" t="inlineStr">
        <is>
          <t>P-28161</t>
        </is>
      </c>
      <c r="F255" s="9" t="inlineStr">
        <is>
          <t>Laser &amp; Hydra</t>
        </is>
      </c>
      <c r="G255" s="9" t="inlineStr">
        <is>
          <t>8–11</t>
        </is>
      </c>
      <c r="H255" s="9" t="inlineStr">
        <is>
          <t>Completed</t>
        </is>
      </c>
      <c r="I255" s="9" t="inlineStr">
        <is>
          <t>Y</t>
        </is>
      </c>
      <c r="J255" s="9" t="n">
        <v>4</v>
      </c>
      <c r="K255" s="9" t="inlineStr">
        <is>
          <t>N</t>
        </is>
      </c>
      <c r="L255" s="9" t="n"/>
      <c r="M255" s="116">
        <f>--(COUNTIF($A$2:A255,A255)=1)</f>
        <v>1</v>
      </c>
    </row>
    <row r="256">
      <c r="A256" s="9" t="inlineStr">
        <is>
          <t>YM2610156220</t>
        </is>
      </c>
      <c r="B256" s="114" t="n">
        <v>46311</v>
      </c>
      <c r="C256" s="9" t="inlineStr">
        <is>
          <t>Rest of India</t>
        </is>
      </c>
      <c r="D256" s="9" t="inlineStr">
        <is>
          <t>AHM-2</t>
        </is>
      </c>
      <c r="E256" s="9" t="inlineStr">
        <is>
          <t>P-10452</t>
        </is>
      </c>
      <c r="F256" s="9" t="inlineStr">
        <is>
          <t>Waxing</t>
        </is>
      </c>
      <c r="G256" s="9" t="inlineStr">
        <is>
          <t>11–14</t>
        </is>
      </c>
      <c r="H256" s="9" t="inlineStr">
        <is>
          <t>Cancelled – partner</t>
        </is>
      </c>
      <c r="I256" s="9" t="n"/>
      <c r="J256" s="9" t="n"/>
      <c r="K256" s="9" t="n"/>
      <c r="L256" s="9" t="n"/>
      <c r="M256" s="116">
        <f>--(COUNTIF($A$2:A256,A256)=1)</f>
        <v>1</v>
      </c>
    </row>
    <row r="257">
      <c r="A257" s="9" t="inlineStr">
        <is>
          <t>YM2610130778</t>
        </is>
      </c>
      <c r="B257" s="114" t="n">
        <v>46311</v>
      </c>
      <c r="C257" s="9" t="inlineStr">
        <is>
          <t>Rest of India</t>
        </is>
      </c>
      <c r="D257" s="9" t="inlineStr">
        <is>
          <t>LKO-1</t>
        </is>
      </c>
      <c r="E257" s="9" t="inlineStr">
        <is>
          <t>P-29659</t>
        </is>
      </c>
      <c r="F257" s="9" t="inlineStr">
        <is>
          <t>Facial &amp; clean-up</t>
        </is>
      </c>
      <c r="G257" s="9" t="inlineStr">
        <is>
          <t>14–17</t>
        </is>
      </c>
      <c r="H257" s="9" t="inlineStr">
        <is>
          <t>Completed</t>
        </is>
      </c>
      <c r="I257" s="9" t="inlineStr">
        <is>
          <t>Y</t>
        </is>
      </c>
      <c r="J257" s="9" t="n"/>
      <c r="K257" s="9" t="inlineStr">
        <is>
          <t>N</t>
        </is>
      </c>
      <c r="L257" s="9" t="n"/>
      <c r="M257" s="116">
        <f>--(COUNTIF($A$2:A257,A257)=1)</f>
        <v>1</v>
      </c>
    </row>
    <row r="258">
      <c r="A258" s="9" t="inlineStr">
        <is>
          <t>YM2610149352</t>
        </is>
      </c>
      <c r="B258" s="114" t="n">
        <v>46310</v>
      </c>
      <c r="C258" s="9" t="inlineStr">
        <is>
          <t>Rest of India</t>
        </is>
      </c>
      <c r="D258" s="9" t="inlineStr">
        <is>
          <t>CHD-1</t>
        </is>
      </c>
      <c r="E258" s="9" t="inlineStr">
        <is>
          <t>P-14290</t>
        </is>
      </c>
      <c r="F258" s="9" t="inlineStr">
        <is>
          <t>Hair care</t>
        </is>
      </c>
      <c r="G258" s="9" t="inlineStr">
        <is>
          <t>17–20</t>
        </is>
      </c>
      <c r="H258" s="9" t="inlineStr">
        <is>
          <t>Completed</t>
        </is>
      </c>
      <c r="I258" s="9" t="inlineStr">
        <is>
          <t>Y</t>
        </is>
      </c>
      <c r="J258" s="9" t="n">
        <v>5</v>
      </c>
      <c r="K258" s="9" t="inlineStr">
        <is>
          <t>N</t>
        </is>
      </c>
      <c r="L258" s="9" t="n"/>
      <c r="M258" s="116">
        <f>--(COUNTIF($A$2:A258,A258)=1)</f>
        <v>1</v>
      </c>
    </row>
    <row r="259">
      <c r="A259" s="9" t="inlineStr">
        <is>
          <t>YM2610196911</t>
        </is>
      </c>
      <c r="B259" s="114" t="n">
        <v>46310</v>
      </c>
      <c r="C259" s="9" t="inlineStr">
        <is>
          <t>Noida &amp; Ghaziabad</t>
        </is>
      </c>
      <c r="D259" s="9" t="inlineStr">
        <is>
          <t>NOI-3</t>
        </is>
      </c>
      <c r="E259" s="9" t="inlineStr">
        <is>
          <t>P-20937</t>
        </is>
      </c>
      <c r="F259" s="9" t="inlineStr">
        <is>
          <t>Waxing</t>
        </is>
      </c>
      <c r="G259" s="9" t="inlineStr">
        <is>
          <t>14–17</t>
        </is>
      </c>
      <c r="H259" s="9" t="inlineStr">
        <is>
          <t>Completed</t>
        </is>
      </c>
      <c r="I259" s="9" t="inlineStr">
        <is>
          <t>Y</t>
        </is>
      </c>
      <c r="J259" s="9" t="n">
        <v>5</v>
      </c>
      <c r="K259" s="9" t="inlineStr">
        <is>
          <t>N</t>
        </is>
      </c>
      <c r="L259" s="9" t="n"/>
      <c r="M259" s="116">
        <f>--(COUNTIF($A$2:A259,A259)=1)</f>
        <v>1</v>
      </c>
    </row>
    <row r="260">
      <c r="A260" s="9" t="inlineStr">
        <is>
          <t>YM2610155349</t>
        </is>
      </c>
      <c r="B260" s="114" t="n">
        <v>46312</v>
      </c>
      <c r="C260" s="9" t="inlineStr">
        <is>
          <t>Bengaluru</t>
        </is>
      </c>
      <c r="D260" s="9" t="inlineStr">
        <is>
          <t>BLR-3</t>
        </is>
      </c>
      <c r="E260" s="9" t="inlineStr">
        <is>
          <t>P-28643</t>
        </is>
      </c>
      <c r="F260" s="9" t="inlineStr">
        <is>
          <t>Hair care</t>
        </is>
      </c>
      <c r="G260" s="9" t="inlineStr">
        <is>
          <t>17–20</t>
        </is>
      </c>
      <c r="H260" s="9" t="inlineStr">
        <is>
          <t>Completed</t>
        </is>
      </c>
      <c r="I260" s="9" t="inlineStr">
        <is>
          <t>Y</t>
        </is>
      </c>
      <c r="J260" s="9" t="n">
        <v>5</v>
      </c>
      <c r="K260" s="9" t="inlineStr">
        <is>
          <t>N</t>
        </is>
      </c>
      <c r="L260" s="9" t="n"/>
      <c r="M260" s="116">
        <f>--(COUNTIF($A$2:A260,A260)=1)</f>
        <v>1</v>
      </c>
    </row>
    <row r="261">
      <c r="A261" s="9" t="inlineStr">
        <is>
          <t>YM2610195943</t>
        </is>
      </c>
      <c r="B261" s="114" t="n">
        <v>46313</v>
      </c>
      <c r="C261" s="9" t="inlineStr">
        <is>
          <t>Hyderabad</t>
        </is>
      </c>
      <c r="D261" s="9" t="inlineStr">
        <is>
          <t>HYD-2</t>
        </is>
      </c>
      <c r="E261" s="9" t="inlineStr">
        <is>
          <t>P-21891</t>
        </is>
      </c>
      <c r="F261" s="9" t="inlineStr">
        <is>
          <t>Threading &amp; de-tan</t>
        </is>
      </c>
      <c r="G261" s="9" t="inlineStr">
        <is>
          <t>20–22</t>
        </is>
      </c>
      <c r="H261" s="9" t="inlineStr">
        <is>
          <t>Completed</t>
        </is>
      </c>
      <c r="I261" s="9" t="inlineStr">
        <is>
          <t>Y</t>
        </is>
      </c>
      <c r="J261" s="9" t="n">
        <v>5</v>
      </c>
      <c r="K261" s="9" t="inlineStr">
        <is>
          <t>N</t>
        </is>
      </c>
      <c r="L261" s="9" t="n"/>
      <c r="M261" s="116">
        <f>--(COUNTIF($A$2:A261,A261)=1)</f>
        <v>1</v>
      </c>
    </row>
    <row r="262">
      <c r="A262" s="9" t="inlineStr">
        <is>
          <t>YM2610165761</t>
        </is>
      </c>
      <c r="B262" s="114" t="n">
        <v>46308</v>
      </c>
      <c r="C262" s="9" t="inlineStr">
        <is>
          <t>Pune</t>
        </is>
      </c>
      <c r="D262" s="9" t="inlineStr">
        <is>
          <t>PUN-1</t>
        </is>
      </c>
      <c r="E262" s="9" t="inlineStr">
        <is>
          <t>P-26675</t>
        </is>
      </c>
      <c r="F262" s="9" t="inlineStr">
        <is>
          <t>Threading &amp; de-tan</t>
        </is>
      </c>
      <c r="G262" s="9" t="inlineStr">
        <is>
          <t>8–11</t>
        </is>
      </c>
      <c r="H262" s="9" t="inlineStr">
        <is>
          <t>Cancelled – customer</t>
        </is>
      </c>
      <c r="I262" s="9" t="n"/>
      <c r="J262" s="9" t="n"/>
      <c r="K262" s="9" t="n"/>
      <c r="L262" s="9" t="n"/>
      <c r="M262" s="116">
        <f>--(COUNTIF($A$2:A262,A262)=1)</f>
        <v>1</v>
      </c>
    </row>
    <row r="263">
      <c r="A263" s="9" t="inlineStr">
        <is>
          <t>YM2610209048</t>
        </is>
      </c>
      <c r="B263" s="114" t="n">
        <v>46313</v>
      </c>
      <c r="C263" s="9" t="inlineStr">
        <is>
          <t>Gurugram</t>
        </is>
      </c>
      <c r="D263" s="9" t="inlineStr">
        <is>
          <t>GGN-2</t>
        </is>
      </c>
      <c r="E263" s="9" t="inlineStr">
        <is>
          <t>P-25776</t>
        </is>
      </c>
      <c r="F263" s="9" t="inlineStr">
        <is>
          <t>Massage &amp; body</t>
        </is>
      </c>
      <c r="G263" s="9" t="inlineStr">
        <is>
          <t>17–20</t>
        </is>
      </c>
      <c r="H263" s="9" t="inlineStr">
        <is>
          <t>Completed</t>
        </is>
      </c>
      <c r="I263" s="9" t="inlineStr">
        <is>
          <t>N</t>
        </is>
      </c>
      <c r="J263" s="9" t="n"/>
      <c r="K263" s="9" t="inlineStr">
        <is>
          <t>N</t>
        </is>
      </c>
      <c r="L263" s="9" t="n"/>
      <c r="M263" s="116">
        <f>--(COUNTIF($A$2:A263,A263)=1)</f>
        <v>1</v>
      </c>
    </row>
    <row r="264">
      <c r="A264" s="9" t="inlineStr">
        <is>
          <t>YM2610216304</t>
        </is>
      </c>
      <c r="B264" s="114" t="n">
        <v>46310</v>
      </c>
      <c r="C264" s="9" t="inlineStr">
        <is>
          <t>Mumbai</t>
        </is>
      </c>
      <c r="D264" s="9" t="inlineStr">
        <is>
          <t>MUM-5</t>
        </is>
      </c>
      <c r="E264" s="9" t="inlineStr">
        <is>
          <t>P-24092</t>
        </is>
      </c>
      <c r="F264" s="9" t="inlineStr">
        <is>
          <t>Facial &amp; clean-up</t>
        </is>
      </c>
      <c r="G264" s="9" t="inlineStr">
        <is>
          <t>14–17</t>
        </is>
      </c>
      <c r="H264" s="9" t="inlineStr">
        <is>
          <t>Completed</t>
        </is>
      </c>
      <c r="I264" s="9" t="inlineStr">
        <is>
          <t>Y</t>
        </is>
      </c>
      <c r="J264" s="9" t="n"/>
      <c r="K264" s="9" t="inlineStr">
        <is>
          <t>N</t>
        </is>
      </c>
      <c r="L264" s="9" t="inlineStr">
        <is>
          <t>Rescheduled</t>
        </is>
      </c>
      <c r="M264" s="116">
        <f>--(COUNTIF($A$2:A264,A264)=1)</f>
        <v>0</v>
      </c>
    </row>
    <row r="265">
      <c r="A265" s="9" t="inlineStr">
        <is>
          <t>YM2610154045</t>
        </is>
      </c>
      <c r="B265" s="114" t="n">
        <v>46312</v>
      </c>
      <c r="C265" s="9" t="inlineStr">
        <is>
          <t>Noida &amp; Ghaziabad</t>
        </is>
      </c>
      <c r="D265" s="9" t="inlineStr">
        <is>
          <t>GZB-1</t>
        </is>
      </c>
      <c r="E265" s="9" t="inlineStr">
        <is>
          <t>P-28739</t>
        </is>
      </c>
      <c r="F265" s="9" t="inlineStr">
        <is>
          <t>Hair care</t>
        </is>
      </c>
      <c r="G265" s="9" t="inlineStr">
        <is>
          <t>20–22</t>
        </is>
      </c>
      <c r="H265" s="9" t="inlineStr">
        <is>
          <t>Completed</t>
        </is>
      </c>
      <c r="I265" s="9" t="inlineStr">
        <is>
          <t>N</t>
        </is>
      </c>
      <c r="J265" s="9" t="n">
        <v>5</v>
      </c>
      <c r="K265" s="9" t="inlineStr">
        <is>
          <t>N</t>
        </is>
      </c>
      <c r="L265" s="9" t="n"/>
      <c r="M265" s="116">
        <f>--(COUNTIF($A$2:A265,A265)=1)</f>
        <v>1</v>
      </c>
    </row>
    <row r="266">
      <c r="A266" s="9" t="inlineStr">
        <is>
          <t>YM2610167789</t>
        </is>
      </c>
      <c r="B266" s="114" t="n">
        <v>46311</v>
      </c>
      <c r="C266" s="9" t="inlineStr">
        <is>
          <t>Rest of India</t>
        </is>
      </c>
      <c r="D266" s="9" t="inlineStr">
        <is>
          <t>AHM-2</t>
        </is>
      </c>
      <c r="E266" s="9" t="inlineStr">
        <is>
          <t>P-12219</t>
        </is>
      </c>
      <c r="F266" s="9" t="inlineStr">
        <is>
          <t>Threading &amp; de-tan</t>
        </is>
      </c>
      <c r="G266" s="9" t="inlineStr">
        <is>
          <t>8–11</t>
        </is>
      </c>
      <c r="H266" s="9" t="inlineStr">
        <is>
          <t>Completed</t>
        </is>
      </c>
      <c r="I266" s="9" t="inlineStr">
        <is>
          <t>Y</t>
        </is>
      </c>
      <c r="J266" s="9" t="n">
        <v>2</v>
      </c>
      <c r="K266" s="9" t="inlineStr">
        <is>
          <t>N</t>
        </is>
      </c>
      <c r="L266" s="9" t="n"/>
      <c r="M266" s="116">
        <f>--(COUNTIF($A$2:A266,A266)=1)</f>
        <v>1</v>
      </c>
    </row>
    <row r="267">
      <c r="A267" s="9" t="inlineStr">
        <is>
          <t>YM2610127251</t>
        </is>
      </c>
      <c r="B267" s="114" t="n">
        <v>46311</v>
      </c>
      <c r="C267" s="9" t="inlineStr">
        <is>
          <t>Rest of India</t>
        </is>
      </c>
      <c r="D267" s="9" t="inlineStr">
        <is>
          <t>AHM-2</t>
        </is>
      </c>
      <c r="E267" s="9" t="inlineStr">
        <is>
          <t>P-24677</t>
        </is>
      </c>
      <c r="F267" s="9" t="inlineStr">
        <is>
          <t>Waxing</t>
        </is>
      </c>
      <c r="G267" s="9" t="inlineStr">
        <is>
          <t>17–20</t>
        </is>
      </c>
      <c r="H267" s="9" t="inlineStr">
        <is>
          <t>Completed</t>
        </is>
      </c>
      <c r="I267" s="9" t="inlineStr">
        <is>
          <t>Y</t>
        </is>
      </c>
      <c r="J267" s="9" t="n">
        <v>5</v>
      </c>
      <c r="K267" s="9" t="inlineStr">
        <is>
          <t>N</t>
        </is>
      </c>
      <c r="L267" s="9" t="n"/>
      <c r="M267" s="116">
        <f>--(COUNTIF($A$2:A267,A267)=1)</f>
        <v>1</v>
      </c>
    </row>
    <row r="268">
      <c r="A268" s="9" t="inlineStr">
        <is>
          <t>YM2610199777</t>
        </is>
      </c>
      <c r="B268" s="114" t="n">
        <v>46308</v>
      </c>
      <c r="C268" s="9" t="inlineStr">
        <is>
          <t>Bengaluru</t>
        </is>
      </c>
      <c r="D268" s="9" t="inlineStr">
        <is>
          <t>BLR-1</t>
        </is>
      </c>
      <c r="E268" s="9" t="inlineStr">
        <is>
          <t>P-12598</t>
        </is>
      </c>
      <c r="F268" s="9" t="inlineStr">
        <is>
          <t>Waxing</t>
        </is>
      </c>
      <c r="G268" s="9" t="inlineStr">
        <is>
          <t>17–20</t>
        </is>
      </c>
      <c r="H268" s="9" t="inlineStr">
        <is>
          <t>Cancelled – customer</t>
        </is>
      </c>
      <c r="I268" s="9" t="n"/>
      <c r="J268" s="9" t="n"/>
      <c r="K268" s="9" t="n"/>
      <c r="L268" s="9" t="n"/>
      <c r="M268" s="116">
        <f>--(COUNTIF($A$2:A268,A268)=1)</f>
        <v>1</v>
      </c>
    </row>
    <row r="269">
      <c r="A269" s="9" t="inlineStr">
        <is>
          <t>YM2610122966</t>
        </is>
      </c>
      <c r="B269" s="114" t="n">
        <v>46311</v>
      </c>
      <c r="C269" s="9" t="inlineStr">
        <is>
          <t>Rest of India</t>
        </is>
      </c>
      <c r="D269" s="9" t="inlineStr">
        <is>
          <t>CHD-1</t>
        </is>
      </c>
      <c r="E269" s="9" t="inlineStr">
        <is>
          <t>P-10903</t>
        </is>
      </c>
      <c r="F269" s="9" t="inlineStr">
        <is>
          <t>Waxing</t>
        </is>
      </c>
      <c r="G269" s="9" t="inlineStr">
        <is>
          <t>17–20</t>
        </is>
      </c>
      <c r="H269" s="9" t="inlineStr">
        <is>
          <t>Completed</t>
        </is>
      </c>
      <c r="I269" s="9" t="inlineStr">
        <is>
          <t>Y</t>
        </is>
      </c>
      <c r="J269" s="9" t="n">
        <v>5</v>
      </c>
      <c r="K269" s="9" t="inlineStr">
        <is>
          <t>N</t>
        </is>
      </c>
      <c r="L269" s="9" t="n"/>
      <c r="M269" s="116">
        <f>--(COUNTIF($A$2:A269,A269)=1)</f>
        <v>1</v>
      </c>
    </row>
    <row r="270">
      <c r="A270" s="9" t="inlineStr">
        <is>
          <t>YM2610126959</t>
        </is>
      </c>
      <c r="B270" s="114" t="n">
        <v>46310</v>
      </c>
      <c r="C270" s="9" t="inlineStr">
        <is>
          <t>Bengaluru</t>
        </is>
      </c>
      <c r="D270" s="9" t="inlineStr">
        <is>
          <t>BLR-1</t>
        </is>
      </c>
      <c r="E270" s="9" t="inlineStr">
        <is>
          <t>P-20961</t>
        </is>
      </c>
      <c r="F270" s="9" t="inlineStr">
        <is>
          <t>Mani-pedi</t>
        </is>
      </c>
      <c r="G270" s="9" t="inlineStr">
        <is>
          <t>17–20</t>
        </is>
      </c>
      <c r="H270" s="9" t="inlineStr">
        <is>
          <t>Completed</t>
        </is>
      </c>
      <c r="I270" s="9" t="inlineStr">
        <is>
          <t>N</t>
        </is>
      </c>
      <c r="J270" s="9" t="n">
        <v>5</v>
      </c>
      <c r="K270" s="9" t="inlineStr">
        <is>
          <t>N</t>
        </is>
      </c>
      <c r="L270" s="9" t="n"/>
      <c r="M270" s="116">
        <f>--(COUNTIF($A$2:A270,A270)=1)</f>
        <v>1</v>
      </c>
    </row>
    <row r="271">
      <c r="A271" s="9" t="inlineStr">
        <is>
          <t>YM2610162082</t>
        </is>
      </c>
      <c r="B271" s="114" t="n">
        <v>46313</v>
      </c>
      <c r="C271" s="9" t="inlineStr">
        <is>
          <t>Rest of India</t>
        </is>
      </c>
      <c r="D271" s="9" t="inlineStr">
        <is>
          <t>JAI-1</t>
        </is>
      </c>
      <c r="E271" s="9" t="inlineStr">
        <is>
          <t>P-23603</t>
        </is>
      </c>
      <c r="F271" s="9" t="inlineStr">
        <is>
          <t>Hair care</t>
        </is>
      </c>
      <c r="G271" s="9" t="inlineStr">
        <is>
          <t>8–11</t>
        </is>
      </c>
      <c r="H271" s="9" t="inlineStr">
        <is>
          <t>Completed</t>
        </is>
      </c>
      <c r="I271" s="9" t="inlineStr">
        <is>
          <t>Y</t>
        </is>
      </c>
      <c r="J271" s="9" t="n"/>
      <c r="K271" s="9" t="inlineStr">
        <is>
          <t>N</t>
        </is>
      </c>
      <c r="L271" s="9" t="n"/>
      <c r="M271" s="116">
        <f>--(COUNTIF($A$2:A271,A271)=1)</f>
        <v>1</v>
      </c>
    </row>
    <row r="272">
      <c r="A272" s="9" t="inlineStr">
        <is>
          <t>YM2610176473</t>
        </is>
      </c>
      <c r="B272" s="114" t="n">
        <v>46308</v>
      </c>
      <c r="C272" s="9" t="inlineStr">
        <is>
          <t>Delhi</t>
        </is>
      </c>
      <c r="D272" s="9" t="inlineStr">
        <is>
          <t>DEL-2</t>
        </is>
      </c>
      <c r="E272" s="9" t="inlineStr">
        <is>
          <t>P-27650</t>
        </is>
      </c>
      <c r="F272" s="9" t="inlineStr">
        <is>
          <t>Mani-pedi</t>
        </is>
      </c>
      <c r="G272" s="9" t="inlineStr">
        <is>
          <t>8–11</t>
        </is>
      </c>
      <c r="H272" s="9" t="inlineStr">
        <is>
          <t>Completed</t>
        </is>
      </c>
      <c r="I272" s="9" t="inlineStr">
        <is>
          <t>Y</t>
        </is>
      </c>
      <c r="J272" s="9" t="n">
        <v>4</v>
      </c>
      <c r="K272" s="9" t="inlineStr">
        <is>
          <t>N</t>
        </is>
      </c>
      <c r="L272" s="9" t="n"/>
      <c r="M272" s="116">
        <f>--(COUNTIF($A$2:A272,A272)=1)</f>
        <v>1</v>
      </c>
    </row>
    <row r="273">
      <c r="A273" s="9" t="inlineStr">
        <is>
          <t>YM2610183594</t>
        </is>
      </c>
      <c r="B273" s="114" t="n">
        <v>46311</v>
      </c>
      <c r="C273" s="9" t="inlineStr">
        <is>
          <t>Rest of India</t>
        </is>
      </c>
      <c r="D273" s="9" t="inlineStr">
        <is>
          <t>JAI-1</t>
        </is>
      </c>
      <c r="E273" s="9" t="inlineStr">
        <is>
          <t>P-20133</t>
        </is>
      </c>
      <c r="F273" s="9" t="inlineStr">
        <is>
          <t>Hair care</t>
        </is>
      </c>
      <c r="G273" s="9" t="inlineStr">
        <is>
          <t>11–14</t>
        </is>
      </c>
      <c r="H273" s="9" t="inlineStr">
        <is>
          <t>Completed</t>
        </is>
      </c>
      <c r="I273" s="9" t="inlineStr">
        <is>
          <t>Y</t>
        </is>
      </c>
      <c r="J273" s="9" t="n"/>
      <c r="K273" s="9" t="inlineStr">
        <is>
          <t>N</t>
        </is>
      </c>
      <c r="L273" s="9" t="n"/>
      <c r="M273" s="116">
        <f>--(COUNTIF($A$2:A273,A273)=1)</f>
        <v>1</v>
      </c>
    </row>
    <row r="274">
      <c r="A274" s="9" t="inlineStr">
        <is>
          <t>YM2610134079</t>
        </is>
      </c>
      <c r="B274" s="114" t="n">
        <v>46310</v>
      </c>
      <c r="C274" s="9" t="inlineStr">
        <is>
          <t>Bengaluru</t>
        </is>
      </c>
      <c r="D274" s="9" t="inlineStr">
        <is>
          <t>BLR-3</t>
        </is>
      </c>
      <c r="E274" s="9" t="inlineStr">
        <is>
          <t>P-14934</t>
        </is>
      </c>
      <c r="F274" s="9" t="inlineStr">
        <is>
          <t>Makeup</t>
        </is>
      </c>
      <c r="G274" s="9" t="inlineStr">
        <is>
          <t>14–17</t>
        </is>
      </c>
      <c r="H274" s="9" t="inlineStr">
        <is>
          <t>Completed</t>
        </is>
      </c>
      <c r="I274" s="9" t="inlineStr">
        <is>
          <t>Y</t>
        </is>
      </c>
      <c r="J274" s="9" t="n">
        <v>5</v>
      </c>
      <c r="K274" s="9" t="inlineStr">
        <is>
          <t>N</t>
        </is>
      </c>
      <c r="L274" s="9" t="n"/>
      <c r="M274" s="116">
        <f>--(COUNTIF($A$2:A274,A274)=1)</f>
        <v>1</v>
      </c>
    </row>
    <row r="275">
      <c r="A275" s="9" t="inlineStr">
        <is>
          <t>YM2610144831</t>
        </is>
      </c>
      <c r="B275" s="114" t="n">
        <v>46307</v>
      </c>
      <c r="C275" s="9" t="inlineStr">
        <is>
          <t>Delhi</t>
        </is>
      </c>
      <c r="D275" s="9" t="inlineStr">
        <is>
          <t>DEL-2</t>
        </is>
      </c>
      <c r="E275" s="9" t="inlineStr">
        <is>
          <t>P-29859</t>
        </is>
      </c>
      <c r="F275" s="9" t="inlineStr">
        <is>
          <t>Facial &amp; clean-up</t>
        </is>
      </c>
      <c r="G275" s="9" t="inlineStr">
        <is>
          <t>8–11</t>
        </is>
      </c>
      <c r="H275" s="9" t="inlineStr">
        <is>
          <t>Completed</t>
        </is>
      </c>
      <c r="I275" s="9" t="inlineStr">
        <is>
          <t>Y</t>
        </is>
      </c>
      <c r="J275" s="9" t="n">
        <v>5</v>
      </c>
      <c r="K275" s="9" t="inlineStr">
        <is>
          <t>N</t>
        </is>
      </c>
      <c r="L275" s="9" t="n"/>
      <c r="M275" s="116">
        <f>--(COUNTIF($A$2:A275,A275)=1)</f>
        <v>1</v>
      </c>
    </row>
    <row r="276">
      <c r="A276" s="9" t="inlineStr">
        <is>
          <t>YM2610152796</t>
        </is>
      </c>
      <c r="B276" s="114" t="n">
        <v>46313</v>
      </c>
      <c r="C276" s="9" t="inlineStr">
        <is>
          <t>Hyderabad</t>
        </is>
      </c>
      <c r="D276" s="9" t="inlineStr">
        <is>
          <t>HYD-1</t>
        </is>
      </c>
      <c r="E276" s="9" t="inlineStr">
        <is>
          <t>P-26349</t>
        </is>
      </c>
      <c r="F276" s="9" t="inlineStr">
        <is>
          <t>Waxing</t>
        </is>
      </c>
      <c r="G276" s="9" t="inlineStr">
        <is>
          <t>8–11</t>
        </is>
      </c>
      <c r="H276" s="9" t="inlineStr">
        <is>
          <t>Completed</t>
        </is>
      </c>
      <c r="I276" s="9" t="inlineStr">
        <is>
          <t>N</t>
        </is>
      </c>
      <c r="J276" s="9" t="n"/>
      <c r="K276" s="9" t="inlineStr">
        <is>
          <t>N</t>
        </is>
      </c>
      <c r="L276" s="9" t="n"/>
      <c r="M276" s="116">
        <f>--(COUNTIF($A$2:A276,A276)=1)</f>
        <v>1</v>
      </c>
    </row>
    <row r="277">
      <c r="A277" s="9" t="inlineStr">
        <is>
          <t>YM2610123023</t>
        </is>
      </c>
      <c r="B277" s="114" t="n">
        <v>46308</v>
      </c>
      <c r="C277" s="9" t="inlineStr">
        <is>
          <t>Noida &amp; Ghaziabad</t>
        </is>
      </c>
      <c r="D277" s="9" t="inlineStr">
        <is>
          <t>NOI-1</t>
        </is>
      </c>
      <c r="E277" s="9" t="inlineStr">
        <is>
          <t>P-23167</t>
        </is>
      </c>
      <c r="F277" s="9" t="inlineStr">
        <is>
          <t>Mani-pedi</t>
        </is>
      </c>
      <c r="G277" s="9" t="inlineStr">
        <is>
          <t>17–20</t>
        </is>
      </c>
      <c r="H277" s="9" t="inlineStr">
        <is>
          <t>Completed</t>
        </is>
      </c>
      <c r="I277" s="9" t="inlineStr">
        <is>
          <t>Y</t>
        </is>
      </c>
      <c r="J277" s="9" t="n"/>
      <c r="K277" s="9" t="inlineStr">
        <is>
          <t>N</t>
        </is>
      </c>
      <c r="L277" s="9" t="n"/>
      <c r="M277" s="116">
        <f>--(COUNTIF($A$2:A277,A277)=1)</f>
        <v>1</v>
      </c>
    </row>
    <row r="278">
      <c r="A278" s="9" t="inlineStr">
        <is>
          <t>YM2610125024</t>
        </is>
      </c>
      <c r="B278" s="114" t="n">
        <v>46313</v>
      </c>
      <c r="C278" s="9" t="inlineStr">
        <is>
          <t>Noida &amp; Ghaziabad</t>
        </is>
      </c>
      <c r="D278" s="9" t="inlineStr">
        <is>
          <t>NOI-3</t>
        </is>
      </c>
      <c r="E278" s="9" t="inlineStr">
        <is>
          <t>P-10680</t>
        </is>
      </c>
      <c r="F278" s="9" t="inlineStr">
        <is>
          <t>Facial &amp; clean-up</t>
        </is>
      </c>
      <c r="G278" s="9" t="inlineStr">
        <is>
          <t>11–14</t>
        </is>
      </c>
      <c r="H278" s="9" t="inlineStr">
        <is>
          <t>Completed</t>
        </is>
      </c>
      <c r="I278" s="9" t="inlineStr">
        <is>
          <t>Y</t>
        </is>
      </c>
      <c r="J278" s="9" t="n"/>
      <c r="K278" s="9" t="inlineStr">
        <is>
          <t>N</t>
        </is>
      </c>
      <c r="L278" s="9" t="n"/>
      <c r="M278" s="116">
        <f>--(COUNTIF($A$2:A278,A278)=1)</f>
        <v>1</v>
      </c>
    </row>
    <row r="279">
      <c r="A279" s="9" t="inlineStr">
        <is>
          <t>YM2610149391</t>
        </is>
      </c>
      <c r="B279" s="114" t="n">
        <v>46312</v>
      </c>
      <c r="C279" s="9" t="inlineStr">
        <is>
          <t>Gurugram</t>
        </is>
      </c>
      <c r="D279" s="9" t="inlineStr">
        <is>
          <t>GGN-4</t>
        </is>
      </c>
      <c r="E279" s="9" t="inlineStr">
        <is>
          <t>P-15135</t>
        </is>
      </c>
      <c r="F279" s="9" t="inlineStr">
        <is>
          <t>Massage &amp; body</t>
        </is>
      </c>
      <c r="G279" s="9" t="inlineStr">
        <is>
          <t>14–17</t>
        </is>
      </c>
      <c r="H279" s="9" t="inlineStr">
        <is>
          <t>Completed</t>
        </is>
      </c>
      <c r="I279" s="9" t="inlineStr">
        <is>
          <t>N</t>
        </is>
      </c>
      <c r="J279" s="9" t="n"/>
      <c r="K279" s="9" t="inlineStr">
        <is>
          <t>N</t>
        </is>
      </c>
      <c r="L279" s="9" t="n"/>
      <c r="M279" s="116">
        <f>--(COUNTIF($A$2:A279,A279)=1)</f>
        <v>1</v>
      </c>
    </row>
    <row r="280">
      <c r="A280" s="9" t="inlineStr">
        <is>
          <t>YM2610153732</t>
        </is>
      </c>
      <c r="B280" s="114" t="n">
        <v>46308</v>
      </c>
      <c r="C280" s="9" t="inlineStr">
        <is>
          <t>Rest of India</t>
        </is>
      </c>
      <c r="D280" s="9" t="inlineStr">
        <is>
          <t>LKO-1</t>
        </is>
      </c>
      <c r="E280" s="9" t="inlineStr">
        <is>
          <t>P-20478</t>
        </is>
      </c>
      <c r="F280" s="9" t="inlineStr">
        <is>
          <t>Mani-pedi</t>
        </is>
      </c>
      <c r="G280" s="9" t="inlineStr">
        <is>
          <t>11–14</t>
        </is>
      </c>
      <c r="H280" s="9" t="inlineStr">
        <is>
          <t>Completed</t>
        </is>
      </c>
      <c r="I280" s="9" t="inlineStr">
        <is>
          <t>Y</t>
        </is>
      </c>
      <c r="J280" s="9" t="n">
        <v>4</v>
      </c>
      <c r="K280" s="9" t="inlineStr">
        <is>
          <t>N</t>
        </is>
      </c>
      <c r="L280" s="9" t="n"/>
      <c r="M280" s="116">
        <f>--(COUNTIF($A$2:A280,A280)=1)</f>
        <v>1</v>
      </c>
    </row>
    <row r="281">
      <c r="A281" s="9" t="inlineStr">
        <is>
          <t>YM2610168233</t>
        </is>
      </c>
      <c r="B281" s="114" t="n">
        <v>46313</v>
      </c>
      <c r="C281" s="9" t="inlineStr">
        <is>
          <t>Bengaluru</t>
        </is>
      </c>
      <c r="D281" s="9" t="inlineStr">
        <is>
          <t>BLR-1</t>
        </is>
      </c>
      <c r="E281" s="9" t="n"/>
      <c r="F281" s="9" t="inlineStr">
        <is>
          <t>Mani-pedi</t>
        </is>
      </c>
      <c r="G281" s="9" t="inlineStr">
        <is>
          <t>11–14</t>
        </is>
      </c>
      <c r="H281" s="9" t="inlineStr">
        <is>
          <t>Unassigned</t>
        </is>
      </c>
      <c r="I281" s="9" t="n"/>
      <c r="J281" s="9" t="n"/>
      <c r="K281" s="9" t="n"/>
      <c r="L281" s="9" t="n"/>
      <c r="M281" s="116">
        <f>--(COUNTIF($A$2:A281,A281)=1)</f>
        <v>1</v>
      </c>
    </row>
    <row r="282">
      <c r="A282" s="9" t="inlineStr">
        <is>
          <t>YM2610160007</t>
        </is>
      </c>
      <c r="B282" s="114" t="n">
        <v>46308</v>
      </c>
      <c r="C282" s="9" t="inlineStr">
        <is>
          <t>Rest of India</t>
        </is>
      </c>
      <c r="D282" s="9" t="inlineStr">
        <is>
          <t>JAI-1</t>
        </is>
      </c>
      <c r="E282" s="9" t="inlineStr">
        <is>
          <t>P-13655</t>
        </is>
      </c>
      <c r="F282" s="9" t="inlineStr">
        <is>
          <t>Waxing</t>
        </is>
      </c>
      <c r="G282" s="9" t="inlineStr">
        <is>
          <t>17–20</t>
        </is>
      </c>
      <c r="H282" s="9" t="inlineStr">
        <is>
          <t>Cancelled – partner</t>
        </is>
      </c>
      <c r="I282" s="9" t="n"/>
      <c r="J282" s="9" t="n"/>
      <c r="K282" s="9" t="n"/>
      <c r="L282" s="9" t="n"/>
      <c r="M282" s="116">
        <f>--(COUNTIF($A$2:A282,A282)=1)</f>
        <v>1</v>
      </c>
    </row>
    <row r="283">
      <c r="A283" s="9" t="inlineStr">
        <is>
          <t>YM2610181880</t>
        </is>
      </c>
      <c r="B283" s="114" t="n">
        <v>46308</v>
      </c>
      <c r="C283" s="9" t="inlineStr">
        <is>
          <t>Rest of India</t>
        </is>
      </c>
      <c r="D283" s="9" t="inlineStr">
        <is>
          <t>AHM-2</t>
        </is>
      </c>
      <c r="E283" s="9" t="inlineStr">
        <is>
          <t>P-12956</t>
        </is>
      </c>
      <c r="F283" s="9" t="inlineStr">
        <is>
          <t>Facial &amp; clean-up</t>
        </is>
      </c>
      <c r="G283" s="9" t="inlineStr">
        <is>
          <t>11–14</t>
        </is>
      </c>
      <c r="H283" s="9" t="inlineStr">
        <is>
          <t>Completed</t>
        </is>
      </c>
      <c r="I283" s="9" t="inlineStr">
        <is>
          <t>Y</t>
        </is>
      </c>
      <c r="J283" s="9" t="n">
        <v>5</v>
      </c>
      <c r="K283" s="9" t="inlineStr">
        <is>
          <t>N</t>
        </is>
      </c>
      <c r="L283" s="9" t="n"/>
      <c r="M283" s="116">
        <f>--(COUNTIF($A$2:A283,A283)=1)</f>
        <v>1</v>
      </c>
    </row>
    <row r="284">
      <c r="A284" s="9" t="inlineStr">
        <is>
          <t>YM2610123012</t>
        </is>
      </c>
      <c r="B284" s="114" t="n">
        <v>46309</v>
      </c>
      <c r="C284" s="9" t="inlineStr">
        <is>
          <t>Noida &amp; Ghaziabad</t>
        </is>
      </c>
      <c r="D284" s="9" t="inlineStr">
        <is>
          <t>NOI-1</t>
        </is>
      </c>
      <c r="E284" s="9" t="inlineStr">
        <is>
          <t>P-14418</t>
        </is>
      </c>
      <c r="F284" s="9" t="inlineStr">
        <is>
          <t>Massage &amp; body</t>
        </is>
      </c>
      <c r="G284" s="9" t="inlineStr">
        <is>
          <t>20–22</t>
        </is>
      </c>
      <c r="H284" s="9" t="inlineStr">
        <is>
          <t>Completed</t>
        </is>
      </c>
      <c r="I284" s="9" t="inlineStr">
        <is>
          <t>Y</t>
        </is>
      </c>
      <c r="J284" s="9" t="n">
        <v>5</v>
      </c>
      <c r="K284" s="9" t="inlineStr">
        <is>
          <t>N</t>
        </is>
      </c>
      <c r="L284" s="9" t="n"/>
      <c r="M284" s="116">
        <f>--(COUNTIF($A$2:A284,A284)=1)</f>
        <v>1</v>
      </c>
    </row>
    <row r="285">
      <c r="A285" s="9" t="inlineStr">
        <is>
          <t>YM2610136789</t>
        </is>
      </c>
      <c r="B285" s="114" t="n">
        <v>46307</v>
      </c>
      <c r="C285" s="9" t="inlineStr">
        <is>
          <t>Delhi</t>
        </is>
      </c>
      <c r="D285" s="9" t="inlineStr">
        <is>
          <t>DEL-2</t>
        </is>
      </c>
      <c r="E285" s="9" t="inlineStr">
        <is>
          <t>P-14450</t>
        </is>
      </c>
      <c r="F285" s="9" t="inlineStr">
        <is>
          <t>Massage &amp; body</t>
        </is>
      </c>
      <c r="G285" s="9" t="inlineStr">
        <is>
          <t>20–22</t>
        </is>
      </c>
      <c r="H285" s="9" t="inlineStr">
        <is>
          <t>Completed</t>
        </is>
      </c>
      <c r="I285" s="9" t="inlineStr">
        <is>
          <t>Y</t>
        </is>
      </c>
      <c r="J285" s="9" t="n"/>
      <c r="K285" s="9" t="inlineStr">
        <is>
          <t>N</t>
        </is>
      </c>
      <c r="L285" s="9" t="n"/>
      <c r="M285" s="116">
        <f>--(COUNTIF($A$2:A285,A285)=1)</f>
        <v>1</v>
      </c>
    </row>
    <row r="286">
      <c r="A286" s="9" t="inlineStr">
        <is>
          <t>YM2610190459</t>
        </is>
      </c>
      <c r="B286" s="114" t="n">
        <v>46312</v>
      </c>
      <c r="C286" s="9" t="inlineStr">
        <is>
          <t>Bengaluru</t>
        </is>
      </c>
      <c r="D286" s="9" t="inlineStr">
        <is>
          <t>BLR-3</t>
        </is>
      </c>
      <c r="E286" s="9" t="inlineStr">
        <is>
          <t>P-26261</t>
        </is>
      </c>
      <c r="F286" s="9" t="inlineStr">
        <is>
          <t>Makeup</t>
        </is>
      </c>
      <c r="G286" s="9" t="inlineStr">
        <is>
          <t>14–17</t>
        </is>
      </c>
      <c r="H286" s="9" t="inlineStr">
        <is>
          <t>Cancelled – partner</t>
        </is>
      </c>
      <c r="I286" s="9" t="n"/>
      <c r="J286" s="9" t="n"/>
      <c r="K286" s="9" t="n"/>
      <c r="L286" s="9" t="n"/>
      <c r="M286" s="116">
        <f>--(COUNTIF($A$2:A286,A286)=1)</f>
        <v>1</v>
      </c>
    </row>
    <row r="287">
      <c r="A287" s="9" t="inlineStr">
        <is>
          <t>YM2610150354</t>
        </is>
      </c>
      <c r="B287" s="114" t="n">
        <v>46313</v>
      </c>
      <c r="C287" s="9" t="inlineStr">
        <is>
          <t>Delhi</t>
        </is>
      </c>
      <c r="D287" s="9" t="inlineStr">
        <is>
          <t>DEL-3</t>
        </is>
      </c>
      <c r="E287" s="9" t="inlineStr">
        <is>
          <t>P-12372</t>
        </is>
      </c>
      <c r="F287" s="9" t="inlineStr">
        <is>
          <t>Facial &amp; clean-up</t>
        </is>
      </c>
      <c r="G287" s="9" t="inlineStr">
        <is>
          <t>17–20</t>
        </is>
      </c>
      <c r="H287" s="9" t="inlineStr">
        <is>
          <t>Cancelled – customer</t>
        </is>
      </c>
      <c r="I287" s="9" t="n"/>
      <c r="J287" s="9" t="n"/>
      <c r="K287" s="9" t="n"/>
      <c r="L287" s="9" t="n"/>
      <c r="M287" s="116">
        <f>--(COUNTIF($A$2:A287,A287)=1)</f>
        <v>1</v>
      </c>
    </row>
    <row r="288">
      <c r="A288" s="9" t="inlineStr">
        <is>
          <t>YM2610193957</t>
        </is>
      </c>
      <c r="B288" s="114" t="n">
        <v>46309</v>
      </c>
      <c r="C288" s="9" t="inlineStr">
        <is>
          <t>Gurugram</t>
        </is>
      </c>
      <c r="D288" s="9" t="inlineStr">
        <is>
          <t>GGN-2</t>
        </is>
      </c>
      <c r="E288" s="9" t="inlineStr">
        <is>
          <t>P-18755</t>
        </is>
      </c>
      <c r="F288" s="9" t="inlineStr">
        <is>
          <t>Waxing</t>
        </is>
      </c>
      <c r="G288" s="9" t="inlineStr">
        <is>
          <t>8–11</t>
        </is>
      </c>
      <c r="H288" s="9" t="inlineStr">
        <is>
          <t>Completed</t>
        </is>
      </c>
      <c r="I288" s="9" t="inlineStr">
        <is>
          <t>Y</t>
        </is>
      </c>
      <c r="J288" s="9" t="n">
        <v>5</v>
      </c>
      <c r="K288" s="9" t="inlineStr">
        <is>
          <t>N</t>
        </is>
      </c>
      <c r="L288" s="9" t="n"/>
      <c r="M288" s="116">
        <f>--(COUNTIF($A$2:A288,A288)=1)</f>
        <v>1</v>
      </c>
    </row>
    <row r="289">
      <c r="A289" s="9" t="inlineStr">
        <is>
          <t>YM2610218683</t>
        </is>
      </c>
      <c r="B289" s="114" t="n">
        <v>46311</v>
      </c>
      <c r="C289" s="9" t="inlineStr">
        <is>
          <t>Bengaluru</t>
        </is>
      </c>
      <c r="D289" s="9" t="inlineStr">
        <is>
          <t>BLR-3</t>
        </is>
      </c>
      <c r="E289" s="9" t="inlineStr">
        <is>
          <t>P-23083</t>
        </is>
      </c>
      <c r="F289" s="9" t="inlineStr">
        <is>
          <t>Facial &amp; clean-up</t>
        </is>
      </c>
      <c r="G289" s="9" t="inlineStr">
        <is>
          <t>17–20</t>
        </is>
      </c>
      <c r="H289" s="9" t="inlineStr">
        <is>
          <t>Cancelled – customer</t>
        </is>
      </c>
      <c r="I289" s="9" t="n"/>
      <c r="J289" s="9" t="n"/>
      <c r="K289" s="9" t="n"/>
      <c r="L289" s="9" t="n"/>
      <c r="M289" s="116">
        <f>--(COUNTIF($A$2:A289,A289)=1)</f>
        <v>1</v>
      </c>
    </row>
    <row r="290">
      <c r="A290" s="9" t="inlineStr">
        <is>
          <t>YM2610139750</t>
        </is>
      </c>
      <c r="B290" s="114" t="n">
        <v>46310</v>
      </c>
      <c r="C290" s="9" t="inlineStr">
        <is>
          <t>Mumbai</t>
        </is>
      </c>
      <c r="D290" s="9" t="inlineStr">
        <is>
          <t>MUM-5</t>
        </is>
      </c>
      <c r="E290" s="9" t="inlineStr">
        <is>
          <t>P-10172</t>
        </is>
      </c>
      <c r="F290" s="9" t="inlineStr">
        <is>
          <t>Waxing</t>
        </is>
      </c>
      <c r="G290" s="9" t="inlineStr">
        <is>
          <t>8–11</t>
        </is>
      </c>
      <c r="H290" s="9" t="inlineStr">
        <is>
          <t>Completed</t>
        </is>
      </c>
      <c r="I290" s="9" t="inlineStr">
        <is>
          <t>Y</t>
        </is>
      </c>
      <c r="J290" s="9" t="n"/>
      <c r="K290" s="9" t="inlineStr">
        <is>
          <t>N</t>
        </is>
      </c>
      <c r="L290" s="9" t="n"/>
      <c r="M290" s="116">
        <f>--(COUNTIF($A$2:A290,A290)=1)</f>
        <v>1</v>
      </c>
    </row>
    <row r="291">
      <c r="A291" s="9" t="inlineStr">
        <is>
          <t>YM2610132378</t>
        </is>
      </c>
      <c r="B291" s="114" t="n">
        <v>46312</v>
      </c>
      <c r="C291" s="9" t="inlineStr">
        <is>
          <t>Hyderabad</t>
        </is>
      </c>
      <c r="D291" s="9" t="inlineStr">
        <is>
          <t>HYD-2</t>
        </is>
      </c>
      <c r="E291" s="9" t="inlineStr">
        <is>
          <t>P-11622</t>
        </is>
      </c>
      <c r="F291" s="9" t="inlineStr">
        <is>
          <t>Facial &amp; clean-up</t>
        </is>
      </c>
      <c r="G291" s="9" t="inlineStr">
        <is>
          <t>20–22</t>
        </is>
      </c>
      <c r="H291" s="9" t="inlineStr">
        <is>
          <t>Completed</t>
        </is>
      </c>
      <c r="I291" s="9" t="inlineStr">
        <is>
          <t>Y</t>
        </is>
      </c>
      <c r="J291" s="9" t="n"/>
      <c r="K291" s="9" t="inlineStr">
        <is>
          <t>N</t>
        </is>
      </c>
      <c r="L291" s="9" t="n"/>
      <c r="M291" s="116">
        <f>--(COUNTIF($A$2:A291,A291)=1)</f>
        <v>1</v>
      </c>
    </row>
    <row r="292">
      <c r="A292" s="9" t="inlineStr">
        <is>
          <t>YM2610182683</t>
        </is>
      </c>
      <c r="B292" s="114" t="n">
        <v>46312</v>
      </c>
      <c r="C292" s="9" t="inlineStr">
        <is>
          <t>Mumbai</t>
        </is>
      </c>
      <c r="D292" s="9" t="inlineStr">
        <is>
          <t>MUM-5</t>
        </is>
      </c>
      <c r="E292" s="9" t="inlineStr">
        <is>
          <t>P-21218</t>
        </is>
      </c>
      <c r="F292" s="9" t="inlineStr">
        <is>
          <t>Hair care</t>
        </is>
      </c>
      <c r="G292" s="9" t="inlineStr">
        <is>
          <t>14–17</t>
        </is>
      </c>
      <c r="H292" s="9" t="inlineStr">
        <is>
          <t>Completed</t>
        </is>
      </c>
      <c r="I292" s="9" t="inlineStr">
        <is>
          <t>N</t>
        </is>
      </c>
      <c r="J292" s="9" t="n">
        <v>5</v>
      </c>
      <c r="K292" s="9" t="inlineStr">
        <is>
          <t>N</t>
        </is>
      </c>
      <c r="L292" s="9" t="n"/>
      <c r="M292" s="116">
        <f>--(COUNTIF($A$2:A292,A292)=1)</f>
        <v>1</v>
      </c>
    </row>
    <row r="293">
      <c r="A293" s="9" t="inlineStr">
        <is>
          <t>YM2610201322</t>
        </is>
      </c>
      <c r="B293" s="114" t="n">
        <v>46312</v>
      </c>
      <c r="C293" s="9" t="inlineStr">
        <is>
          <t>Bengaluru</t>
        </is>
      </c>
      <c r="D293" s="9" t="inlineStr">
        <is>
          <t>BLR-3</t>
        </is>
      </c>
      <c r="E293" s="9" t="inlineStr">
        <is>
          <t>P-12359</t>
        </is>
      </c>
      <c r="F293" s="9" t="inlineStr">
        <is>
          <t>Hair care</t>
        </is>
      </c>
      <c r="G293" s="9" t="inlineStr">
        <is>
          <t>11–14</t>
        </is>
      </c>
      <c r="H293" s="9" t="inlineStr">
        <is>
          <t>Completed</t>
        </is>
      </c>
      <c r="I293" s="9" t="inlineStr">
        <is>
          <t>Y</t>
        </is>
      </c>
      <c r="J293" s="9" t="n">
        <v>5</v>
      </c>
      <c r="K293" s="9" t="inlineStr">
        <is>
          <t>N</t>
        </is>
      </c>
      <c r="L293" s="9" t="n"/>
      <c r="M293" s="116">
        <f>--(COUNTIF($A$2:A293,A293)=1)</f>
        <v>1</v>
      </c>
    </row>
    <row r="294">
      <c r="A294" s="9" t="inlineStr">
        <is>
          <t>YM2610189425</t>
        </is>
      </c>
      <c r="B294" s="114" t="n">
        <v>46309</v>
      </c>
      <c r="C294" s="9" t="inlineStr">
        <is>
          <t>Bengaluru</t>
        </is>
      </c>
      <c r="D294" s="9" t="inlineStr">
        <is>
          <t>BLR-3</t>
        </is>
      </c>
      <c r="E294" s="9" t="inlineStr">
        <is>
          <t>P-28700</t>
        </is>
      </c>
      <c r="F294" s="9" t="inlineStr">
        <is>
          <t>Waxing</t>
        </is>
      </c>
      <c r="G294" s="9" t="inlineStr">
        <is>
          <t>20–22</t>
        </is>
      </c>
      <c r="H294" s="9" t="inlineStr">
        <is>
          <t>Completed</t>
        </is>
      </c>
      <c r="I294" s="9" t="inlineStr">
        <is>
          <t>Y</t>
        </is>
      </c>
      <c r="J294" s="9" t="n"/>
      <c r="K294" s="9" t="inlineStr">
        <is>
          <t>N</t>
        </is>
      </c>
      <c r="L294" s="9" t="n"/>
      <c r="M294" s="116">
        <f>--(COUNTIF($A$2:A294,A294)=1)</f>
        <v>1</v>
      </c>
    </row>
    <row r="295">
      <c r="A295" s="9" t="inlineStr">
        <is>
          <t>YM2610207745</t>
        </is>
      </c>
      <c r="B295" s="114" t="n">
        <v>46311</v>
      </c>
      <c r="C295" s="9" t="inlineStr">
        <is>
          <t>Mumbai</t>
        </is>
      </c>
      <c r="D295" s="9" t="inlineStr">
        <is>
          <t>MUM-4</t>
        </is>
      </c>
      <c r="E295" s="9" t="inlineStr">
        <is>
          <t>P-15823</t>
        </is>
      </c>
      <c r="F295" s="9" t="inlineStr">
        <is>
          <t>Hair care</t>
        </is>
      </c>
      <c r="G295" s="9" t="inlineStr">
        <is>
          <t>14–17</t>
        </is>
      </c>
      <c r="H295" s="9" t="inlineStr">
        <is>
          <t>Completed</t>
        </is>
      </c>
      <c r="I295" s="9" t="inlineStr">
        <is>
          <t>Y</t>
        </is>
      </c>
      <c r="J295" s="9" t="n">
        <v>5</v>
      </c>
      <c r="K295" s="9" t="inlineStr">
        <is>
          <t>N</t>
        </is>
      </c>
      <c r="L295" s="9" t="n"/>
      <c r="M295" s="116">
        <f>--(COUNTIF($A$2:A295,A295)=1)</f>
        <v>1</v>
      </c>
    </row>
    <row r="296">
      <c r="A296" s="9" t="inlineStr">
        <is>
          <t>YM2610137126</t>
        </is>
      </c>
      <c r="B296" s="114" t="n">
        <v>46307</v>
      </c>
      <c r="C296" s="9" t="inlineStr">
        <is>
          <t>Rest of India</t>
        </is>
      </c>
      <c r="D296" s="9" t="inlineStr">
        <is>
          <t>AHM-2</t>
        </is>
      </c>
      <c r="E296" s="9" t="inlineStr">
        <is>
          <t>P-15041</t>
        </is>
      </c>
      <c r="F296" s="9" t="inlineStr">
        <is>
          <t>Mani-pedi</t>
        </is>
      </c>
      <c r="G296" s="9" t="inlineStr">
        <is>
          <t>11–14</t>
        </is>
      </c>
      <c r="H296" s="9" t="inlineStr">
        <is>
          <t>Completed</t>
        </is>
      </c>
      <c r="I296" s="9" t="inlineStr">
        <is>
          <t>Y</t>
        </is>
      </c>
      <c r="J296" s="9" t="n"/>
      <c r="K296" s="9" t="inlineStr">
        <is>
          <t>N</t>
        </is>
      </c>
      <c r="L296" s="9" t="n"/>
      <c r="M296" s="116">
        <f>--(COUNTIF($A$2:A296,A296)=1)</f>
        <v>1</v>
      </c>
    </row>
    <row r="297">
      <c r="A297" s="9" t="inlineStr">
        <is>
          <t>YM2610179484</t>
        </is>
      </c>
      <c r="B297" s="114" t="n">
        <v>46311</v>
      </c>
      <c r="C297" s="9" t="inlineStr">
        <is>
          <t>Hyderabad</t>
        </is>
      </c>
      <c r="D297" s="9" t="inlineStr">
        <is>
          <t>HYD-2</t>
        </is>
      </c>
      <c r="E297" s="9" t="inlineStr">
        <is>
          <t>P-24723</t>
        </is>
      </c>
      <c r="F297" s="9" t="inlineStr">
        <is>
          <t>Hair care</t>
        </is>
      </c>
      <c r="G297" s="9" t="inlineStr">
        <is>
          <t>11–14</t>
        </is>
      </c>
      <c r="H297" s="9" t="inlineStr">
        <is>
          <t>Completed</t>
        </is>
      </c>
      <c r="I297" s="9" t="inlineStr">
        <is>
          <t>Y</t>
        </is>
      </c>
      <c r="J297" s="9" t="n">
        <v>5</v>
      </c>
      <c r="K297" s="9" t="inlineStr">
        <is>
          <t>N</t>
        </is>
      </c>
      <c r="L297" s="9" t="n"/>
      <c r="M297" s="116">
        <f>--(COUNTIF($A$2:A297,A297)=1)</f>
        <v>1</v>
      </c>
    </row>
    <row r="298">
      <c r="A298" s="9" t="inlineStr">
        <is>
          <t>YM2610202624</t>
        </is>
      </c>
      <c r="B298" s="114" t="n">
        <v>46307</v>
      </c>
      <c r="C298" s="9" t="inlineStr">
        <is>
          <t>Mumbai</t>
        </is>
      </c>
      <c r="D298" s="9" t="inlineStr">
        <is>
          <t>MUM-4</t>
        </is>
      </c>
      <c r="E298" s="9" t="inlineStr">
        <is>
          <t>P-27150</t>
        </is>
      </c>
      <c r="F298" s="9" t="inlineStr">
        <is>
          <t>Facial &amp; clean-up</t>
        </is>
      </c>
      <c r="G298" s="9" t="inlineStr">
        <is>
          <t>8–11</t>
        </is>
      </c>
      <c r="H298" s="9" t="inlineStr">
        <is>
          <t>Completed</t>
        </is>
      </c>
      <c r="I298" s="9" t="inlineStr">
        <is>
          <t>Y</t>
        </is>
      </c>
      <c r="J298" s="9" t="n"/>
      <c r="K298" s="9" t="inlineStr">
        <is>
          <t>N</t>
        </is>
      </c>
      <c r="L298" s="9" t="n"/>
      <c r="M298" s="116">
        <f>--(COUNTIF($A$2:A298,A298)=1)</f>
        <v>1</v>
      </c>
    </row>
    <row r="299">
      <c r="A299" s="9" t="inlineStr">
        <is>
          <t>YM2610156991</t>
        </is>
      </c>
      <c r="B299" s="114" t="n">
        <v>46311</v>
      </c>
      <c r="C299" s="9" t="inlineStr">
        <is>
          <t>Gurugram</t>
        </is>
      </c>
      <c r="D299" s="9" t="inlineStr">
        <is>
          <t>GGN-2</t>
        </is>
      </c>
      <c r="E299" s="9" t="inlineStr">
        <is>
          <t>P-18376</t>
        </is>
      </c>
      <c r="F299" s="9" t="inlineStr">
        <is>
          <t>Facial &amp; clean-up</t>
        </is>
      </c>
      <c r="G299" s="9" t="inlineStr">
        <is>
          <t>8–11</t>
        </is>
      </c>
      <c r="H299" s="9" t="inlineStr">
        <is>
          <t>Completed</t>
        </is>
      </c>
      <c r="I299" s="9" t="inlineStr">
        <is>
          <t>Y</t>
        </is>
      </c>
      <c r="J299" s="9" t="n"/>
      <c r="K299" s="9" t="inlineStr">
        <is>
          <t>N</t>
        </is>
      </c>
      <c r="L299" s="9" t="n"/>
      <c r="M299" s="116">
        <f>--(COUNTIF($A$2:A299,A299)=1)</f>
        <v>1</v>
      </c>
    </row>
    <row r="300">
      <c r="A300" s="9" t="inlineStr">
        <is>
          <t>YM2610201984</t>
        </is>
      </c>
      <c r="B300" s="114" t="n">
        <v>46313</v>
      </c>
      <c r="C300" s="9" t="inlineStr">
        <is>
          <t>Bengaluru</t>
        </is>
      </c>
      <c r="D300" s="9" t="inlineStr">
        <is>
          <t>BLR-3</t>
        </is>
      </c>
      <c r="E300" s="9" t="inlineStr">
        <is>
          <t>P-11438</t>
        </is>
      </c>
      <c r="F300" s="9" t="inlineStr">
        <is>
          <t>Mani-pedi</t>
        </is>
      </c>
      <c r="G300" s="9" t="inlineStr">
        <is>
          <t>11–14</t>
        </is>
      </c>
      <c r="H300" s="9" t="inlineStr">
        <is>
          <t>Completed</t>
        </is>
      </c>
      <c r="I300" s="9" t="inlineStr">
        <is>
          <t>Y</t>
        </is>
      </c>
      <c r="J300" s="9" t="n"/>
      <c r="K300" s="9" t="inlineStr">
        <is>
          <t>N</t>
        </is>
      </c>
      <c r="L300" s="9" t="n"/>
      <c r="M300" s="116">
        <f>--(COUNTIF($A$2:A300,A300)=1)</f>
        <v>1</v>
      </c>
    </row>
    <row r="301">
      <c r="A301" s="9" t="inlineStr">
        <is>
          <t>YM2610196851</t>
        </is>
      </c>
      <c r="B301" s="114" t="n">
        <v>46313</v>
      </c>
      <c r="C301" s="9" t="inlineStr">
        <is>
          <t>Pune</t>
        </is>
      </c>
      <c r="D301" s="9" t="inlineStr">
        <is>
          <t>PUN-1</t>
        </is>
      </c>
      <c r="E301" s="9" t="inlineStr">
        <is>
          <t>P-16278</t>
        </is>
      </c>
      <c r="F301" s="9" t="inlineStr">
        <is>
          <t>Makeup</t>
        </is>
      </c>
      <c r="G301" s="9" t="inlineStr">
        <is>
          <t>11–14</t>
        </is>
      </c>
      <c r="H301" s="9" t="inlineStr">
        <is>
          <t>Completed</t>
        </is>
      </c>
      <c r="I301" s="9" t="inlineStr">
        <is>
          <t>Y</t>
        </is>
      </c>
      <c r="J301" s="9" t="n">
        <v>5</v>
      </c>
      <c r="K301" s="9" t="inlineStr">
        <is>
          <t>N</t>
        </is>
      </c>
      <c r="L301" s="9" t="n"/>
      <c r="M301" s="116">
        <f>--(COUNTIF($A$2:A301,A301)=1)</f>
        <v>1</v>
      </c>
    </row>
  </sheetData>
  <autoFilter ref="A1:L301"/>
  <conditionalFormatting sqref="A2:A301">
    <cfRule type="expression" priority="1" dxfId="7">
      <formula>COUNTIF(raw_id,A2)&gt;1</formula>
    </cfRule>
  </conditionalFormatting>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D10"/>
  <sheetViews>
    <sheetView showGridLines="1" workbookViewId="0">
      <selection activeCell="A1" sqref="A1"/>
    </sheetView>
  </sheetViews>
  <sheetFormatPr baseColWidth="8" defaultRowHeight="15"/>
  <sheetData>
    <row r="1">
      <c r="A1" t="inlineStr">
        <is>
          <t>Weeks</t>
        </is>
      </c>
      <c r="B1" t="inlineStr">
        <is>
          <t>Scope</t>
        </is>
      </c>
      <c r="C1" t="inlineStr">
        <is>
          <t>Owners</t>
        </is>
      </c>
      <c r="D1" t="inlineStr">
        <is>
          <t>Statuses</t>
        </is>
      </c>
    </row>
    <row r="2">
      <c r="A2" t="n">
        <v>34</v>
      </c>
      <c r="B2" t="inlineStr">
        <is>
          <t>All India</t>
        </is>
      </c>
      <c r="C2" t="inlineStr">
        <is>
          <t>City Ops</t>
        </is>
      </c>
      <c r="D2" t="inlineStr">
        <is>
          <t>Not started</t>
        </is>
      </c>
    </row>
    <row r="3">
      <c r="A3" t="n">
        <v>35</v>
      </c>
      <c r="B3" t="inlineStr">
        <is>
          <t>Delhi</t>
        </is>
      </c>
      <c r="C3" t="inlineStr">
        <is>
          <t>Supply</t>
        </is>
      </c>
      <c r="D3" t="inlineStr">
        <is>
          <t>In progress</t>
        </is>
      </c>
    </row>
    <row r="4">
      <c r="A4" t="n">
        <v>36</v>
      </c>
      <c r="B4" t="inlineStr">
        <is>
          <t>Gurugram</t>
        </is>
      </c>
      <c r="C4" t="inlineStr">
        <is>
          <t>Training &amp; QA</t>
        </is>
      </c>
      <c r="D4" t="inlineStr">
        <is>
          <t>Blocked</t>
        </is>
      </c>
    </row>
    <row r="5">
      <c r="A5" t="n">
        <v>37</v>
      </c>
      <c r="B5" t="inlineStr">
        <is>
          <t>Noida &amp; Ghaziabad</t>
        </is>
      </c>
      <c r="C5" t="inlineStr">
        <is>
          <t>CX</t>
        </is>
      </c>
      <c r="D5" t="inlineStr">
        <is>
          <t>Done</t>
        </is>
      </c>
    </row>
    <row r="6">
      <c r="A6" t="n">
        <v>38</v>
      </c>
      <c r="B6" t="inlineStr">
        <is>
          <t>Mumbai</t>
        </is>
      </c>
      <c r="C6" t="inlineStr">
        <is>
          <t>Inventory</t>
        </is>
      </c>
    </row>
    <row r="7">
      <c r="A7" t="n">
        <v>39</v>
      </c>
      <c r="B7" t="inlineStr">
        <is>
          <t>Bengaluru</t>
        </is>
      </c>
      <c r="C7" t="inlineStr">
        <is>
          <t>Founder's Office</t>
        </is>
      </c>
    </row>
    <row r="8">
      <c r="A8" t="n">
        <v>40</v>
      </c>
      <c r="B8" t="inlineStr">
        <is>
          <t>Hyderabad</t>
        </is>
      </c>
    </row>
    <row r="9">
      <c r="A9" t="n">
        <v>41</v>
      </c>
      <c r="B9" t="inlineStr">
        <is>
          <t>Pune</t>
        </is>
      </c>
    </row>
    <row r="10">
      <c r="A10" t="n">
        <v>42</v>
      </c>
      <c r="B10" t="inlineStr">
        <is>
          <t>Rest of India</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2026-10-22T15:06:52Z</dcterms:created>
  <dcterms:modified xmlns:dcterms="http://purl.org/dc/terms/" xmlns:xsi="http://www.w3.org/2001/XMLSchema-instance" xsi:type="dcterms:W3CDTF">2026-10-22T15:06:52Z</dcterms:modified>
</cp:coreProperties>
</file>